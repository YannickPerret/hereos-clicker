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choune/Documents/dev/js/hereos/"/>
    </mc:Choice>
  </mc:AlternateContent>
  <xr:revisionPtr revIDLastSave="0" documentId="13_ncr:1_{3C7316C1-CE18-B442-BF2E-DDE4E6CFEC19}" xr6:coauthVersionLast="47" xr6:coauthVersionMax="47" xr10:uidLastSave="{00000000-0000-0000-0000-000000000000}"/>
  <bookViews>
    <workbookView xWindow="0" yWindow="660" windowWidth="34560" windowHeight="21680" activeTab="10" xr2:uid="{00000000-000D-0000-FFFF-FFFF00000000}"/>
  </bookViews>
  <sheets>
    <sheet name="Items" sheetId="1" r:id="rId1"/>
    <sheet name="Shop" sheetId="2" r:id="rId2"/>
    <sheet name="Ennemis" sheetId="3" r:id="rId3"/>
    <sheet name="Loot Table" sheetId="4" r:id="rId4"/>
    <sheet name="Donjon" sheetId="5" r:id="rId5"/>
    <sheet name="Companions" sheetId="6" r:id="rId6"/>
    <sheet name="Progression Niveaux" sheetId="7" r:id="rId7"/>
    <sheet name="Missions" sheetId="8" r:id="rId8"/>
    <sheet name="Talents" sheetId="9" r:id="rId9"/>
    <sheet name="Combat Skills" sheetId="10" r:id="rId10"/>
    <sheet name="Dashboar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1" l="1" a="1"/>
  <c r="H72" i="11" s="1"/>
  <c r="G72" i="11" a="1"/>
  <c r="G72" i="11" s="1"/>
  <c r="I72" i="11" s="1"/>
  <c r="H71" i="11" a="1"/>
  <c r="H71" i="11" s="1"/>
  <c r="G71" i="11" a="1"/>
  <c r="G71" i="11" s="1"/>
  <c r="I71" i="11" s="1"/>
  <c r="H70" i="11" a="1"/>
  <c r="H70" i="11" s="1"/>
  <c r="G70" i="11" a="1"/>
  <c r="G70" i="11" s="1"/>
  <c r="I70" i="11" s="1"/>
  <c r="H69" i="11" a="1"/>
  <c r="H69" i="11" s="1"/>
  <c r="G69" i="11" a="1"/>
  <c r="G69" i="11" s="1"/>
  <c r="I69" i="11" s="1"/>
  <c r="H68" i="11" a="1"/>
  <c r="H68" i="11" s="1"/>
  <c r="G68" i="11" a="1"/>
  <c r="G68" i="11" s="1"/>
  <c r="I68" i="11" s="1"/>
  <c r="H67" i="11" a="1"/>
  <c r="H67" i="11" s="1"/>
  <c r="G67" i="11" a="1"/>
  <c r="G67" i="11" s="1"/>
  <c r="I67" i="11" s="1"/>
  <c r="H66" i="11" a="1"/>
  <c r="H66" i="11" s="1"/>
  <c r="G66" i="11" a="1"/>
  <c r="G66" i="11" s="1"/>
  <c r="I66" i="11" s="1"/>
  <c r="H65" i="11" a="1"/>
  <c r="H65" i="11" s="1"/>
  <c r="G65" i="11" a="1"/>
  <c r="G65" i="11" s="1"/>
  <c r="I65" i="11" s="1"/>
  <c r="H64" i="11" a="1"/>
  <c r="H64" i="11" s="1"/>
  <c r="G64" i="11" a="1"/>
  <c r="G64" i="11" s="1"/>
  <c r="I64" i="11" s="1"/>
  <c r="H63" i="11" a="1"/>
  <c r="H63" i="11" s="1"/>
  <c r="G63" i="11" a="1"/>
  <c r="G63" i="11" s="1"/>
  <c r="I63" i="11" s="1"/>
  <c r="H62" i="11" a="1"/>
  <c r="H62" i="11" s="1"/>
  <c r="G62" i="11" a="1"/>
  <c r="G62" i="11" s="1"/>
  <c r="I62" i="11" s="1"/>
  <c r="H61" i="11" a="1"/>
  <c r="H61" i="11" s="1"/>
  <c r="G61" i="11" a="1"/>
  <c r="G61" i="11" s="1"/>
  <c r="I61" i="11" s="1"/>
  <c r="H60" i="11" a="1"/>
  <c r="H60" i="11" s="1"/>
  <c r="G60" i="11" a="1"/>
  <c r="G60" i="11" s="1"/>
  <c r="I60" i="11" s="1"/>
  <c r="H59" i="11" a="1"/>
  <c r="H59" i="11" s="1"/>
  <c r="G59" i="11" a="1"/>
  <c r="G59" i="11" s="1"/>
  <c r="I59" i="11" s="1"/>
  <c r="H58" i="11" a="1"/>
  <c r="H58" i="11" s="1"/>
  <c r="G58" i="11" a="1"/>
  <c r="G58" i="11" s="1"/>
  <c r="I58" i="11" s="1"/>
  <c r="H57" i="11" a="1"/>
  <c r="H57" i="11" s="1"/>
  <c r="G57" i="11" a="1"/>
  <c r="G57" i="11" s="1"/>
  <c r="I57" i="11" s="1"/>
  <c r="H56" i="11" a="1"/>
  <c r="H56" i="11" s="1"/>
  <c r="G56" i="11" a="1"/>
  <c r="G56" i="11" s="1"/>
  <c r="I56" i="11" s="1"/>
  <c r="H55" i="11" a="1"/>
  <c r="H55" i="11" s="1"/>
  <c r="G55" i="11" a="1"/>
  <c r="G55" i="11" s="1"/>
  <c r="I55" i="11" s="1"/>
  <c r="H54" i="11" a="1"/>
  <c r="H54" i="11" s="1"/>
  <c r="G54" i="11" a="1"/>
  <c r="G54" i="11" s="1"/>
  <c r="I54" i="11" s="1"/>
  <c r="H53" i="11" a="1"/>
  <c r="H53" i="11" s="1"/>
  <c r="G53" i="11" a="1"/>
  <c r="G53" i="11" s="1"/>
  <c r="I53" i="11" s="1"/>
  <c r="H52" i="11" a="1"/>
  <c r="H52" i="11" s="1"/>
  <c r="G52" i="11" a="1"/>
  <c r="G52" i="11" s="1"/>
  <c r="I52" i="11" s="1"/>
  <c r="B47" i="11"/>
  <c r="B46" i="11"/>
  <c r="B45" i="11"/>
  <c r="B44" i="11"/>
  <c r="B43" i="11"/>
  <c r="B42" i="11"/>
  <c r="B41" i="11"/>
  <c r="AF6" i="11"/>
  <c r="AE6" i="11"/>
  <c r="T18" i="11"/>
  <c r="AB18" i="11" s="1"/>
  <c r="S18" i="11"/>
  <c r="X18" i="11" s="1"/>
  <c r="R18" i="11"/>
  <c r="AA18" i="11" s="1"/>
  <c r="Q18" i="11"/>
  <c r="W18" i="11" s="1"/>
  <c r="T17" i="11"/>
  <c r="AB17" i="11" s="1"/>
  <c r="S17" i="11"/>
  <c r="X17" i="11" s="1"/>
  <c r="R17" i="11"/>
  <c r="AA17" i="11" s="1"/>
  <c r="Q17" i="11"/>
  <c r="W17" i="11" s="1"/>
  <c r="T16" i="11"/>
  <c r="AB16" i="11" s="1"/>
  <c r="S16" i="11"/>
  <c r="X16" i="11" s="1"/>
  <c r="R16" i="11"/>
  <c r="AA16" i="11" s="1"/>
  <c r="Q16" i="11"/>
  <c r="W16" i="11" s="1"/>
  <c r="T15" i="11"/>
  <c r="AB15" i="11" s="1"/>
  <c r="S15" i="11"/>
  <c r="X15" i="11" s="1"/>
  <c r="R15" i="11"/>
  <c r="AA15" i="11" s="1"/>
  <c r="Q15" i="11"/>
  <c r="W15" i="11" s="1"/>
  <c r="T14" i="11"/>
  <c r="AB14" i="11" s="1"/>
  <c r="S14" i="11"/>
  <c r="X14" i="11" s="1"/>
  <c r="R14" i="11"/>
  <c r="AA14" i="11" s="1"/>
  <c r="Q14" i="11"/>
  <c r="W14" i="11" s="1"/>
  <c r="T13" i="11"/>
  <c r="AB13" i="11" s="1"/>
  <c r="S13" i="11"/>
  <c r="X13" i="11" s="1"/>
  <c r="R13" i="11"/>
  <c r="AA13" i="11" s="1"/>
  <c r="Q13" i="11"/>
  <c r="W13" i="11" s="1"/>
  <c r="T12" i="11"/>
  <c r="AB12" i="11" s="1"/>
  <c r="S12" i="11"/>
  <c r="X12" i="11" s="1"/>
  <c r="R12" i="11"/>
  <c r="AA12" i="11" s="1"/>
  <c r="Q12" i="11"/>
  <c r="W12" i="11" s="1"/>
  <c r="T11" i="11"/>
  <c r="AB11" i="11" s="1"/>
  <c r="S11" i="11"/>
  <c r="X11" i="11" s="1"/>
  <c r="R11" i="11"/>
  <c r="AA11" i="11" s="1"/>
  <c r="Q11" i="11"/>
  <c r="W11" i="11" s="1"/>
  <c r="T10" i="11"/>
  <c r="AB10" i="11" s="1"/>
  <c r="S10" i="11"/>
  <c r="X10" i="11" s="1"/>
  <c r="R10" i="11"/>
  <c r="AA10" i="11" s="1"/>
  <c r="Q10" i="11"/>
  <c r="W10" i="11" s="1"/>
  <c r="T9" i="11"/>
  <c r="AB9" i="11" s="1"/>
  <c r="S9" i="11"/>
  <c r="X9" i="11" s="1"/>
  <c r="R9" i="11"/>
  <c r="AA9" i="11" s="1"/>
  <c r="Q9" i="11"/>
  <c r="W9" i="11" s="1"/>
  <c r="T8" i="11"/>
  <c r="AB8" i="11" s="1"/>
  <c r="S8" i="11"/>
  <c r="X8" i="11" s="1"/>
  <c r="R8" i="11"/>
  <c r="AA8" i="11" s="1"/>
  <c r="Q8" i="11"/>
  <c r="W8" i="11" s="1"/>
  <c r="T7" i="11"/>
  <c r="AB7" i="11" s="1"/>
  <c r="S7" i="11"/>
  <c r="X7" i="11" s="1"/>
  <c r="R7" i="11"/>
  <c r="AA7" i="11" s="1"/>
  <c r="Q7" i="11"/>
  <c r="W7" i="11" s="1"/>
  <c r="T6" i="11"/>
  <c r="AB6" i="11" s="1"/>
  <c r="S6" i="11"/>
  <c r="X6" i="11" s="1"/>
  <c r="R6" i="11"/>
  <c r="AA6" i="11" s="1"/>
  <c r="Q6" i="11"/>
  <c r="W6" i="11" s="1"/>
  <c r="T5" i="11"/>
  <c r="AB5" i="11" s="1"/>
  <c r="S5" i="11"/>
  <c r="X5" i="11" s="1"/>
  <c r="R5" i="11"/>
  <c r="AA5" i="11" s="1"/>
  <c r="Q5" i="11"/>
  <c r="W5" i="11" s="1"/>
  <c r="T4" i="11"/>
  <c r="AB4" i="11" s="1"/>
  <c r="S4" i="11"/>
  <c r="X4" i="11" s="1"/>
  <c r="R4" i="11"/>
  <c r="AA4" i="11" s="1"/>
  <c r="Q4" i="11"/>
  <c r="W4" i="11" s="1"/>
  <c r="T3" i="11"/>
  <c r="AB3" i="11" s="1"/>
  <c r="S3" i="11"/>
  <c r="X3" i="11" s="1"/>
  <c r="R3" i="11"/>
  <c r="AA3" i="11" s="1"/>
  <c r="Q3" i="11"/>
  <c r="W3" i="11" s="1"/>
  <c r="T2" i="11"/>
  <c r="AB2" i="11" s="1"/>
  <c r="S2" i="11"/>
  <c r="X2" i="11" s="1"/>
  <c r="R2" i="11"/>
  <c r="AA2" i="11" s="1"/>
  <c r="Q2" i="11"/>
  <c r="W2" i="11" s="1"/>
  <c r="E158" i="11"/>
  <c r="E157" i="11"/>
  <c r="D157" i="11"/>
  <c r="G146" i="11"/>
  <c r="F146" i="11"/>
  <c r="E146" i="11"/>
  <c r="H146" i="11" s="1"/>
  <c r="D146" i="11"/>
  <c r="C146" i="11"/>
  <c r="B146" i="11"/>
  <c r="A146" i="11"/>
  <c r="G145" i="11"/>
  <c r="F145" i="11"/>
  <c r="E145" i="11"/>
  <c r="H145" i="11" s="1"/>
  <c r="D145" i="11"/>
  <c r="C145" i="11"/>
  <c r="B145" i="11"/>
  <c r="A145" i="11"/>
  <c r="G144" i="11"/>
  <c r="F144" i="11"/>
  <c r="E144" i="11"/>
  <c r="H144" i="11" s="1"/>
  <c r="D144" i="11"/>
  <c r="C144" i="11"/>
  <c r="B144" i="11"/>
  <c r="A144" i="11"/>
  <c r="G143" i="11"/>
  <c r="F143" i="11"/>
  <c r="E143" i="11"/>
  <c r="H143" i="11" s="1"/>
  <c r="D143" i="11"/>
  <c r="C143" i="11"/>
  <c r="B143" i="11"/>
  <c r="A143" i="11"/>
  <c r="G142" i="11"/>
  <c r="F142" i="11"/>
  <c r="E142" i="11"/>
  <c r="D142" i="11"/>
  <c r="C142" i="11"/>
  <c r="B142" i="11"/>
  <c r="A142" i="11"/>
  <c r="H141" i="11"/>
  <c r="I141" i="11" s="1"/>
  <c r="G141" i="11"/>
  <c r="F141" i="11"/>
  <c r="E141" i="11"/>
  <c r="D141" i="11"/>
  <c r="C141" i="11"/>
  <c r="B141" i="11"/>
  <c r="A141" i="11"/>
  <c r="G140" i="11"/>
  <c r="F140" i="11"/>
  <c r="E140" i="11"/>
  <c r="H140" i="11" s="1"/>
  <c r="D140" i="11"/>
  <c r="C140" i="11"/>
  <c r="B140" i="11"/>
  <c r="A140" i="11"/>
  <c r="G139" i="11"/>
  <c r="F139" i="11"/>
  <c r="E139" i="11"/>
  <c r="H139" i="11" s="1"/>
  <c r="I139" i="11" s="1"/>
  <c r="D139" i="11"/>
  <c r="C139" i="11"/>
  <c r="B139" i="11"/>
  <c r="A139" i="11"/>
  <c r="G138" i="11"/>
  <c r="F138" i="11"/>
  <c r="E138" i="11"/>
  <c r="H138" i="11" s="1"/>
  <c r="D138" i="11"/>
  <c r="C138" i="11"/>
  <c r="B138" i="11"/>
  <c r="A138" i="11"/>
  <c r="G137" i="11"/>
  <c r="F137" i="11"/>
  <c r="E137" i="11"/>
  <c r="H137" i="11" s="1"/>
  <c r="D137" i="11"/>
  <c r="C137" i="11"/>
  <c r="B137" i="11"/>
  <c r="A137" i="11"/>
  <c r="G136" i="11"/>
  <c r="F136" i="11"/>
  <c r="E136" i="11"/>
  <c r="H136" i="11" s="1"/>
  <c r="D136" i="11"/>
  <c r="C136" i="11"/>
  <c r="B136" i="11"/>
  <c r="A136" i="11"/>
  <c r="G135" i="11"/>
  <c r="F135" i="11"/>
  <c r="E135" i="11"/>
  <c r="H135" i="11" s="1"/>
  <c r="I135" i="11" s="1"/>
  <c r="D135" i="11"/>
  <c r="C135" i="11"/>
  <c r="B135" i="11"/>
  <c r="A135" i="11"/>
  <c r="G134" i="11"/>
  <c r="F134" i="11"/>
  <c r="E134" i="11"/>
  <c r="H134" i="11" s="1"/>
  <c r="D134" i="11"/>
  <c r="C134" i="11"/>
  <c r="B134" i="11"/>
  <c r="A134" i="11"/>
  <c r="H133" i="11"/>
  <c r="G133" i="11"/>
  <c r="F133" i="11"/>
  <c r="E133" i="11"/>
  <c r="D133" i="11"/>
  <c r="C133" i="11"/>
  <c r="B133" i="11"/>
  <c r="A133" i="11"/>
  <c r="G132" i="11"/>
  <c r="F132" i="11"/>
  <c r="E132" i="11"/>
  <c r="H132" i="11" s="1"/>
  <c r="D132" i="11"/>
  <c r="C132" i="11"/>
  <c r="B132" i="11"/>
  <c r="A132" i="11"/>
  <c r="G131" i="11"/>
  <c r="F131" i="11"/>
  <c r="E131" i="11"/>
  <c r="H131" i="11" s="1"/>
  <c r="D131" i="11"/>
  <c r="C131" i="11"/>
  <c r="B131" i="11"/>
  <c r="A131" i="11"/>
  <c r="E126" i="11"/>
  <c r="D126" i="11"/>
  <c r="C126" i="11"/>
  <c r="B126" i="11"/>
  <c r="A126" i="11"/>
  <c r="E125" i="11"/>
  <c r="D125" i="11"/>
  <c r="C125" i="11"/>
  <c r="B125" i="11"/>
  <c r="A125" i="11"/>
  <c r="E124" i="11"/>
  <c r="D124" i="11"/>
  <c r="F124" i="11" s="1"/>
  <c r="C124" i="11"/>
  <c r="B124" i="11"/>
  <c r="A124" i="11"/>
  <c r="E123" i="11"/>
  <c r="D123" i="11"/>
  <c r="F123" i="11" s="1"/>
  <c r="C123" i="11"/>
  <c r="B123" i="11"/>
  <c r="A123" i="11"/>
  <c r="E122" i="11"/>
  <c r="F122" i="11" s="1"/>
  <c r="D122" i="11"/>
  <c r="C122" i="11"/>
  <c r="B122" i="11"/>
  <c r="A122" i="11"/>
  <c r="F121" i="11"/>
  <c r="E121" i="11"/>
  <c r="D121" i="11"/>
  <c r="C121" i="11"/>
  <c r="B121" i="11"/>
  <c r="A121" i="11"/>
  <c r="E120" i="11"/>
  <c r="D120" i="11"/>
  <c r="C120" i="11"/>
  <c r="B120" i="11"/>
  <c r="A120" i="11"/>
  <c r="E119" i="11"/>
  <c r="D119" i="11"/>
  <c r="C119" i="11"/>
  <c r="B119" i="11"/>
  <c r="A119" i="11"/>
  <c r="E118" i="11"/>
  <c r="D118" i="11"/>
  <c r="C118" i="11"/>
  <c r="B118" i="11"/>
  <c r="A118" i="11"/>
  <c r="E117" i="11"/>
  <c r="D117" i="11"/>
  <c r="F117" i="11" s="1"/>
  <c r="C117" i="11"/>
  <c r="B117" i="11"/>
  <c r="A117" i="11"/>
  <c r="E116" i="11"/>
  <c r="D116" i="11"/>
  <c r="C116" i="11"/>
  <c r="B116" i="11"/>
  <c r="A116" i="11"/>
  <c r="E115" i="11"/>
  <c r="D115" i="11"/>
  <c r="F115" i="11" s="1"/>
  <c r="C115" i="11"/>
  <c r="B115" i="11"/>
  <c r="A115" i="11"/>
  <c r="E114" i="11"/>
  <c r="D114" i="11"/>
  <c r="C114" i="11"/>
  <c r="B114" i="11"/>
  <c r="A114" i="11"/>
  <c r="I109" i="11"/>
  <c r="H109" i="11"/>
  <c r="J109" i="11" s="1"/>
  <c r="E109" i="11"/>
  <c r="D109" i="11"/>
  <c r="C109" i="11"/>
  <c r="G109" i="11" s="1"/>
  <c r="B109" i="11"/>
  <c r="H108" i="11"/>
  <c r="J108" i="11" s="1"/>
  <c r="E108" i="11"/>
  <c r="D108" i="11"/>
  <c r="C108" i="11"/>
  <c r="G108" i="11" s="1"/>
  <c r="B108" i="11"/>
  <c r="H107" i="11"/>
  <c r="J107" i="11" s="1"/>
  <c r="G107" i="11"/>
  <c r="F107" i="11"/>
  <c r="E107" i="11"/>
  <c r="D107" i="11"/>
  <c r="C107" i="11"/>
  <c r="B107" i="11"/>
  <c r="J106" i="11"/>
  <c r="H106" i="11"/>
  <c r="I106" i="11" s="1"/>
  <c r="E106" i="11"/>
  <c r="D106" i="11"/>
  <c r="C106" i="11"/>
  <c r="G106" i="11" s="1"/>
  <c r="B106" i="11"/>
  <c r="I105" i="11"/>
  <c r="H105" i="11"/>
  <c r="J105" i="11" s="1"/>
  <c r="E105" i="11"/>
  <c r="D105" i="11"/>
  <c r="C105" i="11"/>
  <c r="G105" i="11" s="1"/>
  <c r="B105" i="11"/>
  <c r="H104" i="11"/>
  <c r="I104" i="11" s="1"/>
  <c r="E104" i="11"/>
  <c r="D104" i="11"/>
  <c r="C104" i="11"/>
  <c r="F104" i="11" s="1"/>
  <c r="B104" i="11"/>
  <c r="I103" i="11"/>
  <c r="H103" i="11"/>
  <c r="J103" i="11" s="1"/>
  <c r="E103" i="11"/>
  <c r="D103" i="11"/>
  <c r="C103" i="11"/>
  <c r="F103" i="11" s="1"/>
  <c r="B103" i="11"/>
  <c r="H102" i="11"/>
  <c r="J102" i="11" s="1"/>
  <c r="E102" i="11"/>
  <c r="D102" i="11"/>
  <c r="C102" i="11"/>
  <c r="G102" i="11" s="1"/>
  <c r="B102" i="11"/>
  <c r="J101" i="11"/>
  <c r="I101" i="11"/>
  <c r="L101" i="11" s="1"/>
  <c r="H101" i="11"/>
  <c r="E101" i="11"/>
  <c r="D101" i="11"/>
  <c r="C101" i="11"/>
  <c r="G101" i="11" s="1"/>
  <c r="B101" i="11"/>
  <c r="H100" i="11"/>
  <c r="J100" i="11" s="1"/>
  <c r="E100" i="11"/>
  <c r="D100" i="11"/>
  <c r="C100" i="11"/>
  <c r="G100" i="11" s="1"/>
  <c r="B100" i="11"/>
  <c r="I99" i="11"/>
  <c r="L99" i="11" s="1"/>
  <c r="H99" i="11"/>
  <c r="J99" i="11" s="1"/>
  <c r="E99" i="11"/>
  <c r="D99" i="11"/>
  <c r="C99" i="11"/>
  <c r="F99" i="11" s="1"/>
  <c r="B99" i="11"/>
  <c r="H98" i="11"/>
  <c r="J98" i="11" s="1"/>
  <c r="E98" i="11"/>
  <c r="D98" i="11"/>
  <c r="C98" i="11"/>
  <c r="G98" i="11" s="1"/>
  <c r="B98" i="11"/>
  <c r="I93" i="11"/>
  <c r="H93" i="11"/>
  <c r="G93" i="11"/>
  <c r="J93" i="11" s="1"/>
  <c r="E93" i="11"/>
  <c r="D93" i="11"/>
  <c r="K93" i="11" s="1"/>
  <c r="C93" i="11"/>
  <c r="B93" i="11"/>
  <c r="D158" i="11" s="1"/>
  <c r="I92" i="11"/>
  <c r="H92" i="11"/>
  <c r="G92" i="11"/>
  <c r="E92" i="11"/>
  <c r="D92" i="11"/>
  <c r="K92" i="11" s="1"/>
  <c r="C92" i="11"/>
  <c r="B92" i="11"/>
  <c r="K91" i="11"/>
  <c r="J91" i="11"/>
  <c r="L91" i="11" s="1"/>
  <c r="I91" i="11"/>
  <c r="H91" i="11"/>
  <c r="G91" i="11"/>
  <c r="E91" i="11"/>
  <c r="D91" i="11"/>
  <c r="C91" i="11"/>
  <c r="B91" i="11"/>
  <c r="I90" i="11"/>
  <c r="H90" i="11"/>
  <c r="G90" i="11"/>
  <c r="E90" i="11"/>
  <c r="D90" i="11"/>
  <c r="K90" i="11" s="1"/>
  <c r="C90" i="11"/>
  <c r="B90" i="11"/>
  <c r="I89" i="11"/>
  <c r="H89" i="11"/>
  <c r="G89" i="11"/>
  <c r="E89" i="11"/>
  <c r="D89" i="11"/>
  <c r="K89" i="11" s="1"/>
  <c r="C89" i="11"/>
  <c r="J89" i="11" s="1"/>
  <c r="L89" i="11" s="1"/>
  <c r="B89" i="11"/>
  <c r="I88" i="11"/>
  <c r="H88" i="11"/>
  <c r="G88" i="11"/>
  <c r="E88" i="11"/>
  <c r="D88" i="11"/>
  <c r="C88" i="11"/>
  <c r="B88" i="11"/>
  <c r="I87" i="11"/>
  <c r="H87" i="11"/>
  <c r="G87" i="11"/>
  <c r="E87" i="11"/>
  <c r="D87" i="11"/>
  <c r="K87" i="11" s="1"/>
  <c r="C87" i="11"/>
  <c r="B87" i="11"/>
  <c r="K86" i="11"/>
  <c r="I86" i="11"/>
  <c r="H86" i="11"/>
  <c r="G86" i="11"/>
  <c r="E86" i="11"/>
  <c r="D86" i="11"/>
  <c r="C86" i="11"/>
  <c r="B86" i="11"/>
  <c r="I85" i="11"/>
  <c r="H85" i="11"/>
  <c r="K85" i="11" s="1"/>
  <c r="G85" i="11"/>
  <c r="J85" i="11" s="1"/>
  <c r="L85" i="11" s="1"/>
  <c r="E85" i="11"/>
  <c r="D85" i="11"/>
  <c r="C85" i="11"/>
  <c r="B85" i="11"/>
  <c r="I84" i="11"/>
  <c r="H84" i="11"/>
  <c r="G84" i="11"/>
  <c r="E84" i="11"/>
  <c r="D84" i="11"/>
  <c r="K84" i="11" s="1"/>
  <c r="C84" i="11"/>
  <c r="J84" i="11" s="1"/>
  <c r="L84" i="11" s="1"/>
  <c r="B84" i="11"/>
  <c r="I83" i="11"/>
  <c r="H83" i="11"/>
  <c r="G83" i="11"/>
  <c r="E83" i="11"/>
  <c r="D83" i="11"/>
  <c r="K83" i="11" s="1"/>
  <c r="C83" i="11"/>
  <c r="J83" i="11" s="1"/>
  <c r="L83" i="11" s="1"/>
  <c r="B83" i="11"/>
  <c r="I82" i="11"/>
  <c r="H82" i="11"/>
  <c r="G82" i="11"/>
  <c r="E82" i="11"/>
  <c r="D82" i="11"/>
  <c r="K82" i="11" s="1"/>
  <c r="C82" i="11"/>
  <c r="B82" i="11"/>
  <c r="I81" i="11"/>
  <c r="H81" i="11"/>
  <c r="G81" i="11"/>
  <c r="E81" i="11"/>
  <c r="D81" i="11"/>
  <c r="K81" i="11" s="1"/>
  <c r="C81" i="11"/>
  <c r="B81" i="11"/>
  <c r="I80" i="11"/>
  <c r="H80" i="11"/>
  <c r="K80" i="11" s="1"/>
  <c r="G80" i="11"/>
  <c r="E80" i="11"/>
  <c r="D80" i="11"/>
  <c r="C80" i="11"/>
  <c r="B80" i="11"/>
  <c r="I79" i="11"/>
  <c r="H79" i="11"/>
  <c r="G79" i="11"/>
  <c r="J79" i="11" s="1"/>
  <c r="L79" i="11" s="1"/>
  <c r="E79" i="11"/>
  <c r="D79" i="11"/>
  <c r="K79" i="11" s="1"/>
  <c r="C79" i="11"/>
  <c r="B79" i="11"/>
  <c r="I78" i="11"/>
  <c r="H78" i="11"/>
  <c r="G78" i="11"/>
  <c r="E78" i="11"/>
  <c r="D78" i="11"/>
  <c r="K78" i="11" s="1"/>
  <c r="C78" i="11"/>
  <c r="J78" i="11" s="1"/>
  <c r="L78" i="11" s="1"/>
  <c r="B78" i="11"/>
  <c r="I77" i="11"/>
  <c r="H77" i="11"/>
  <c r="G77" i="11"/>
  <c r="E77" i="11"/>
  <c r="D77" i="11"/>
  <c r="C77" i="11"/>
  <c r="J77" i="11" s="1"/>
  <c r="L77" i="11" s="1"/>
  <c r="B77" i="11"/>
  <c r="E72" i="11"/>
  <c r="D72" i="11"/>
  <c r="F72" i="11" s="1"/>
  <c r="C72" i="11"/>
  <c r="B72" i="11"/>
  <c r="E71" i="11"/>
  <c r="D71" i="11"/>
  <c r="F71" i="11" s="1"/>
  <c r="J71" i="11" s="1"/>
  <c r="C71" i="11"/>
  <c r="B71" i="11"/>
  <c r="E70" i="11"/>
  <c r="D70" i="11"/>
  <c r="F70" i="11" s="1"/>
  <c r="C70" i="11"/>
  <c r="B70" i="11"/>
  <c r="E69" i="11"/>
  <c r="D69" i="11"/>
  <c r="F69" i="11" s="1"/>
  <c r="C69" i="11"/>
  <c r="B69" i="11"/>
  <c r="E68" i="11"/>
  <c r="D68" i="11"/>
  <c r="F68" i="11" s="1"/>
  <c r="C68" i="11"/>
  <c r="B68" i="11"/>
  <c r="E67" i="11"/>
  <c r="D67" i="11"/>
  <c r="F67" i="11" s="1"/>
  <c r="C67" i="11"/>
  <c r="B67" i="11"/>
  <c r="E66" i="11"/>
  <c r="D66" i="11"/>
  <c r="F66" i="11" s="1"/>
  <c r="C66" i="11"/>
  <c r="B66" i="11"/>
  <c r="E65" i="11"/>
  <c r="D65" i="11"/>
  <c r="F65" i="11" s="1"/>
  <c r="C65" i="11"/>
  <c r="B65" i="11"/>
  <c r="E64" i="11"/>
  <c r="D64" i="11"/>
  <c r="F64" i="11" s="1"/>
  <c r="C64" i="11"/>
  <c r="B64" i="11"/>
  <c r="E63" i="11"/>
  <c r="D63" i="11"/>
  <c r="F63" i="11" s="1"/>
  <c r="C63" i="11"/>
  <c r="B63" i="11"/>
  <c r="E62" i="11"/>
  <c r="D62" i="11"/>
  <c r="F62" i="11" s="1"/>
  <c r="C62" i="11"/>
  <c r="B62" i="11"/>
  <c r="E61" i="11"/>
  <c r="D61" i="11"/>
  <c r="F61" i="11" s="1"/>
  <c r="C61" i="11"/>
  <c r="B61" i="11"/>
  <c r="F60" i="11"/>
  <c r="E60" i="11"/>
  <c r="D60" i="11"/>
  <c r="C60" i="11"/>
  <c r="B60" i="11"/>
  <c r="E59" i="11"/>
  <c r="D59" i="11"/>
  <c r="F59" i="11" s="1"/>
  <c r="C59" i="11"/>
  <c r="B59" i="11"/>
  <c r="E58" i="11"/>
  <c r="D58" i="11"/>
  <c r="F58" i="11" s="1"/>
  <c r="C58" i="11"/>
  <c r="B58" i="11"/>
  <c r="E57" i="11"/>
  <c r="D57" i="11"/>
  <c r="F57" i="11" s="1"/>
  <c r="C57" i="11"/>
  <c r="B57" i="11"/>
  <c r="E56" i="11"/>
  <c r="D56" i="11"/>
  <c r="F56" i="11" s="1"/>
  <c r="C56" i="11"/>
  <c r="B56" i="11"/>
  <c r="F55" i="11"/>
  <c r="E55" i="11"/>
  <c r="D55" i="11"/>
  <c r="C55" i="11"/>
  <c r="B55" i="11"/>
  <c r="E54" i="11"/>
  <c r="D54" i="11"/>
  <c r="F54" i="11" s="1"/>
  <c r="C54" i="11"/>
  <c r="B54" i="11"/>
  <c r="E53" i="11"/>
  <c r="D53" i="11"/>
  <c r="F53" i="11" s="1"/>
  <c r="C53" i="11"/>
  <c r="B53" i="11"/>
  <c r="E52" i="11"/>
  <c r="D52" i="11"/>
  <c r="F52" i="11" s="1"/>
  <c r="C52" i="11"/>
  <c r="B52" i="11"/>
  <c r="K47" i="11"/>
  <c r="H47" i="11"/>
  <c r="G47" i="11"/>
  <c r="F47" i="11"/>
  <c r="E47" i="11"/>
  <c r="D47" i="11"/>
  <c r="C47" i="11"/>
  <c r="K46" i="11"/>
  <c r="H46" i="11"/>
  <c r="G46" i="11"/>
  <c r="F46" i="11"/>
  <c r="E46" i="11"/>
  <c r="D46" i="11"/>
  <c r="C46" i="11"/>
  <c r="K45" i="11"/>
  <c r="H45" i="11"/>
  <c r="G45" i="11"/>
  <c r="F45" i="11"/>
  <c r="E45" i="11"/>
  <c r="D45" i="11"/>
  <c r="C45" i="11"/>
  <c r="K44" i="11"/>
  <c r="H44" i="11"/>
  <c r="G44" i="11"/>
  <c r="F44" i="11"/>
  <c r="E44" i="11"/>
  <c r="D44" i="11"/>
  <c r="C44" i="11"/>
  <c r="K43" i="11"/>
  <c r="H43" i="11"/>
  <c r="G43" i="11"/>
  <c r="F43" i="11"/>
  <c r="E43" i="11"/>
  <c r="D43" i="11"/>
  <c r="I43" i="11" s="1"/>
  <c r="J43" i="11" s="1"/>
  <c r="L43" i="11" s="1"/>
  <c r="C43" i="11"/>
  <c r="K42" i="11"/>
  <c r="H42" i="11"/>
  <c r="G42" i="11"/>
  <c r="F42" i="11"/>
  <c r="E42" i="11"/>
  <c r="D42" i="11"/>
  <c r="C42" i="11"/>
  <c r="K41" i="11"/>
  <c r="H41" i="11"/>
  <c r="G41" i="11"/>
  <c r="F41" i="11"/>
  <c r="E41" i="11"/>
  <c r="D41" i="11"/>
  <c r="I41" i="11" s="1"/>
  <c r="J41" i="11" s="1"/>
  <c r="L41" i="11" s="1"/>
  <c r="C41" i="11"/>
  <c r="I36" i="11"/>
  <c r="H36" i="11"/>
  <c r="G36" i="11"/>
  <c r="F36" i="11"/>
  <c r="E36" i="11"/>
  <c r="D36" i="11"/>
  <c r="I35" i="11"/>
  <c r="H35" i="11"/>
  <c r="G35" i="11"/>
  <c r="J35" i="11" s="1"/>
  <c r="F35" i="11"/>
  <c r="E35" i="11"/>
  <c r="D35" i="11"/>
  <c r="I34" i="11"/>
  <c r="L34" i="11" s="1"/>
  <c r="H34" i="11"/>
  <c r="G34" i="11"/>
  <c r="F34" i="11"/>
  <c r="E34" i="11"/>
  <c r="D34" i="11"/>
  <c r="M34" i="11" s="1"/>
  <c r="M33" i="11"/>
  <c r="L33" i="11"/>
  <c r="K33" i="11"/>
  <c r="I33" i="11"/>
  <c r="H33" i="11"/>
  <c r="G33" i="11"/>
  <c r="F33" i="11"/>
  <c r="E33" i="11"/>
  <c r="D33" i="11"/>
  <c r="J32" i="11"/>
  <c r="I32" i="11"/>
  <c r="L32" i="11" s="1"/>
  <c r="H32" i="11"/>
  <c r="M32" i="11" s="1"/>
  <c r="G32" i="11"/>
  <c r="F32" i="11"/>
  <c r="E32" i="11"/>
  <c r="D32" i="11"/>
  <c r="I31" i="11"/>
  <c r="H31" i="11"/>
  <c r="K31" i="11" s="1"/>
  <c r="G31" i="11"/>
  <c r="J31" i="11" s="1"/>
  <c r="F31" i="11"/>
  <c r="E31" i="11"/>
  <c r="D31" i="11"/>
  <c r="M31" i="11" s="1"/>
  <c r="I30" i="11"/>
  <c r="L30" i="11" s="1"/>
  <c r="H30" i="11"/>
  <c r="M30" i="11" s="1"/>
  <c r="G30" i="11"/>
  <c r="J30" i="11" s="1"/>
  <c r="F30" i="11"/>
  <c r="E30" i="11"/>
  <c r="D30" i="11"/>
  <c r="I29" i="11"/>
  <c r="H29" i="11"/>
  <c r="G29" i="11"/>
  <c r="J29" i="11" s="1"/>
  <c r="F29" i="11"/>
  <c r="E29" i="11"/>
  <c r="D29" i="11"/>
  <c r="I28" i="11"/>
  <c r="H28" i="11"/>
  <c r="M28" i="11" s="1"/>
  <c r="G28" i="11"/>
  <c r="F28" i="11"/>
  <c r="E28" i="11"/>
  <c r="D28" i="11"/>
  <c r="I27" i="11"/>
  <c r="H27" i="11"/>
  <c r="G27" i="11"/>
  <c r="J27" i="11" s="1"/>
  <c r="F27" i="11"/>
  <c r="E27" i="11"/>
  <c r="D27" i="11"/>
  <c r="I26" i="11"/>
  <c r="H26" i="11"/>
  <c r="K26" i="11" s="1"/>
  <c r="G26" i="11"/>
  <c r="F26" i="11"/>
  <c r="E26" i="11"/>
  <c r="D26" i="11"/>
  <c r="I25" i="11"/>
  <c r="H25" i="11"/>
  <c r="K25" i="11" s="1"/>
  <c r="G25" i="11"/>
  <c r="J25" i="11" s="1"/>
  <c r="F25" i="11"/>
  <c r="E25" i="11"/>
  <c r="D25" i="11"/>
  <c r="I24" i="11"/>
  <c r="H24" i="11"/>
  <c r="K24" i="11" s="1"/>
  <c r="G24" i="11"/>
  <c r="F24" i="11"/>
  <c r="E24" i="11"/>
  <c r="D24" i="11"/>
  <c r="I23" i="11"/>
  <c r="L23" i="11" s="1"/>
  <c r="H23" i="11"/>
  <c r="K23" i="11" s="1"/>
  <c r="G23" i="11"/>
  <c r="J23" i="11" s="1"/>
  <c r="F23" i="11"/>
  <c r="E23" i="11"/>
  <c r="D23" i="11"/>
  <c r="I22" i="11"/>
  <c r="L22" i="11" s="1"/>
  <c r="H22" i="11"/>
  <c r="G22" i="11"/>
  <c r="F22" i="11"/>
  <c r="E22" i="11"/>
  <c r="D22" i="11"/>
  <c r="M22" i="11" s="1"/>
  <c r="M21" i="11"/>
  <c r="I21" i="11"/>
  <c r="L21" i="11" s="1"/>
  <c r="H21" i="11"/>
  <c r="K21" i="11" s="1"/>
  <c r="G21" i="11"/>
  <c r="F21" i="11"/>
  <c r="E21" i="11"/>
  <c r="D21" i="11"/>
  <c r="L20" i="11"/>
  <c r="K20" i="11"/>
  <c r="I20" i="11"/>
  <c r="H20" i="11"/>
  <c r="G20" i="11"/>
  <c r="F20" i="11"/>
  <c r="E20" i="11"/>
  <c r="D20" i="11"/>
  <c r="M20" i="11" s="1"/>
  <c r="I19" i="11"/>
  <c r="L19" i="11" s="1"/>
  <c r="H19" i="11"/>
  <c r="M19" i="11" s="1"/>
  <c r="G19" i="11"/>
  <c r="J19" i="11" s="1"/>
  <c r="N19" i="11" s="1"/>
  <c r="F19" i="11"/>
  <c r="E19" i="11"/>
  <c r="D19" i="11"/>
  <c r="I18" i="11"/>
  <c r="H18" i="11"/>
  <c r="M18" i="11" s="1"/>
  <c r="G18" i="11"/>
  <c r="F18" i="11"/>
  <c r="E18" i="11"/>
  <c r="D18" i="11"/>
  <c r="J18" i="11" s="1"/>
  <c r="I17" i="11"/>
  <c r="L17" i="11" s="1"/>
  <c r="H17" i="11"/>
  <c r="M17" i="11" s="1"/>
  <c r="G17" i="11"/>
  <c r="F17" i="11"/>
  <c r="E17" i="11"/>
  <c r="D17" i="11"/>
  <c r="I16" i="11"/>
  <c r="H16" i="11"/>
  <c r="M16" i="11" s="1"/>
  <c r="G16" i="11"/>
  <c r="F16" i="11"/>
  <c r="E16" i="11"/>
  <c r="D16" i="11"/>
  <c r="I15" i="11"/>
  <c r="L15" i="11" s="1"/>
  <c r="H15" i="11"/>
  <c r="M15" i="11" s="1"/>
  <c r="G15" i="11"/>
  <c r="F15" i="11"/>
  <c r="E15" i="11"/>
  <c r="D15" i="11"/>
  <c r="K10" i="11"/>
  <c r="E151" i="11" s="1"/>
  <c r="J10" i="11"/>
  <c r="AF5" i="11" s="1"/>
  <c r="I10" i="11"/>
  <c r="AE5" i="11" s="1"/>
  <c r="K9" i="11"/>
  <c r="J9" i="11"/>
  <c r="AF4" i="11" s="1"/>
  <c r="I9" i="11"/>
  <c r="AE4" i="11" s="1"/>
  <c r="K8" i="11"/>
  <c r="J8" i="11"/>
  <c r="AF3" i="11" s="1"/>
  <c r="I8" i="11"/>
  <c r="AE3" i="11" s="1"/>
  <c r="K7" i="11"/>
  <c r="J7" i="11"/>
  <c r="AF2" i="11" s="1"/>
  <c r="I7" i="11"/>
  <c r="AE2" i="11" s="1"/>
  <c r="K6" i="11"/>
  <c r="J6" i="11"/>
  <c r="I6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D11" i="11" s="1"/>
  <c r="C6" i="11"/>
  <c r="B6" i="11"/>
  <c r="E6" i="11" s="1"/>
  <c r="J61" i="11" l="1"/>
  <c r="L61" i="11" s="1"/>
  <c r="N31" i="11"/>
  <c r="J20" i="11"/>
  <c r="N20" i="11" s="1"/>
  <c r="J60" i="11"/>
  <c r="K60" i="11" s="1"/>
  <c r="J67" i="11"/>
  <c r="K67" i="11" s="1"/>
  <c r="F119" i="11"/>
  <c r="N27" i="11"/>
  <c r="N29" i="11"/>
  <c r="M27" i="11"/>
  <c r="M29" i="11"/>
  <c r="N32" i="11"/>
  <c r="I46" i="11"/>
  <c r="J46" i="11" s="1"/>
  <c r="L46" i="11" s="1"/>
  <c r="J54" i="11"/>
  <c r="J56" i="11"/>
  <c r="L56" i="11" s="1"/>
  <c r="J65" i="11"/>
  <c r="K65" i="11" s="1"/>
  <c r="F126" i="11"/>
  <c r="G126" i="11" s="1"/>
  <c r="M23" i="11"/>
  <c r="N23" i="11" s="1"/>
  <c r="L25" i="11"/>
  <c r="L27" i="11"/>
  <c r="L29" i="11"/>
  <c r="K32" i="11"/>
  <c r="K35" i="11"/>
  <c r="J52" i="11"/>
  <c r="L70" i="11"/>
  <c r="G99" i="11"/>
  <c r="K19" i="11"/>
  <c r="J22" i="11"/>
  <c r="N22" i="11" s="1"/>
  <c r="M24" i="11"/>
  <c r="M26" i="11"/>
  <c r="L31" i="11"/>
  <c r="L35" i="11"/>
  <c r="J70" i="11"/>
  <c r="K70" i="11" s="1"/>
  <c r="F102" i="11"/>
  <c r="C11" i="11"/>
  <c r="J16" i="11"/>
  <c r="K22" i="11"/>
  <c r="M35" i="11"/>
  <c r="N35" i="11" s="1"/>
  <c r="J59" i="11"/>
  <c r="L59" i="11" s="1"/>
  <c r="J87" i="11"/>
  <c r="L87" i="11" s="1"/>
  <c r="F101" i="11"/>
  <c r="G104" i="11"/>
  <c r="J34" i="11"/>
  <c r="N34" i="11" s="1"/>
  <c r="M36" i="11"/>
  <c r="F106" i="11"/>
  <c r="F120" i="11"/>
  <c r="H142" i="11"/>
  <c r="I136" i="11" s="1"/>
  <c r="L16" i="11"/>
  <c r="L18" i="11"/>
  <c r="J21" i="11"/>
  <c r="N21" i="11" s="1"/>
  <c r="J24" i="11"/>
  <c r="N24" i="11" s="1"/>
  <c r="J26" i="11"/>
  <c r="N26" i="11" s="1"/>
  <c r="J28" i="11"/>
  <c r="N28" i="11" s="1"/>
  <c r="K34" i="11"/>
  <c r="I45" i="11"/>
  <c r="J45" i="11" s="1"/>
  <c r="L45" i="11" s="1"/>
  <c r="J66" i="11"/>
  <c r="J81" i="11"/>
  <c r="L81" i="11" s="1"/>
  <c r="J92" i="11"/>
  <c r="L92" i="11" s="1"/>
  <c r="J104" i="11"/>
  <c r="I42" i="11"/>
  <c r="J42" i="11" s="1"/>
  <c r="L42" i="11" s="1"/>
  <c r="L71" i="11"/>
  <c r="F116" i="11"/>
  <c r="G121" i="11" s="1"/>
  <c r="F118" i="11"/>
  <c r="G119" i="11" s="1"/>
  <c r="F125" i="11"/>
  <c r="G118" i="11" s="1"/>
  <c r="L24" i="11"/>
  <c r="L26" i="11"/>
  <c r="L28" i="11"/>
  <c r="J33" i="11"/>
  <c r="N33" i="11" s="1"/>
  <c r="J36" i="11"/>
  <c r="J64" i="11"/>
  <c r="L64" i="11" s="1"/>
  <c r="K77" i="11"/>
  <c r="J86" i="11"/>
  <c r="L86" i="11" s="1"/>
  <c r="J88" i="11"/>
  <c r="L88" i="11" s="1"/>
  <c r="F98" i="11"/>
  <c r="K105" i="11"/>
  <c r="L105" i="11" s="1"/>
  <c r="F108" i="11"/>
  <c r="M25" i="11"/>
  <c r="K36" i="11"/>
  <c r="I44" i="11"/>
  <c r="J44" i="11" s="1"/>
  <c r="L44" i="11" s="1"/>
  <c r="K88" i="11"/>
  <c r="K101" i="11"/>
  <c r="G103" i="11"/>
  <c r="F114" i="11"/>
  <c r="G115" i="11" s="1"/>
  <c r="E9" i="11"/>
  <c r="F9" i="11" s="1"/>
  <c r="J15" i="11"/>
  <c r="N15" i="11" s="1"/>
  <c r="J17" i="11"/>
  <c r="N17" i="11" s="1"/>
  <c r="L36" i="11"/>
  <c r="I47" i="11"/>
  <c r="J47" i="11" s="1"/>
  <c r="J62" i="11"/>
  <c r="J69" i="11"/>
  <c r="J80" i="11"/>
  <c r="L80" i="11" s="1"/>
  <c r="J82" i="11"/>
  <c r="L82" i="11" s="1"/>
  <c r="J90" i="11"/>
  <c r="L90" i="11" s="1"/>
  <c r="F100" i="11"/>
  <c r="L106" i="11"/>
  <c r="K106" i="11"/>
  <c r="G125" i="11"/>
  <c r="L62" i="11"/>
  <c r="K62" i="11"/>
  <c r="K64" i="11"/>
  <c r="E156" i="11" a="1"/>
  <c r="E156" i="11" s="1"/>
  <c r="N18" i="11"/>
  <c r="J53" i="11"/>
  <c r="L104" i="11"/>
  <c r="K104" i="11"/>
  <c r="I142" i="11"/>
  <c r="N36" i="11"/>
  <c r="J55" i="11"/>
  <c r="K55" i="11" s="1"/>
  <c r="J57" i="11"/>
  <c r="K52" i="11"/>
  <c r="L52" i="11"/>
  <c r="K66" i="11"/>
  <c r="L66" i="11"/>
  <c r="L55" i="11"/>
  <c r="J58" i="11"/>
  <c r="L58" i="11" s="1"/>
  <c r="L60" i="11"/>
  <c r="L93" i="11"/>
  <c r="E152" i="11"/>
  <c r="D152" i="11"/>
  <c r="L69" i="11"/>
  <c r="K69" i="11"/>
  <c r="N30" i="11"/>
  <c r="K54" i="11"/>
  <c r="L54" i="11"/>
  <c r="N25" i="11"/>
  <c r="N16" i="11"/>
  <c r="J63" i="11"/>
  <c r="L63" i="11" s="1"/>
  <c r="J68" i="11"/>
  <c r="J72" i="11"/>
  <c r="E10" i="11"/>
  <c r="F10" i="11" s="1"/>
  <c r="E8" i="11"/>
  <c r="F8" i="11" s="1"/>
  <c r="B11" i="11"/>
  <c r="K18" i="11"/>
  <c r="K30" i="11"/>
  <c r="I102" i="11"/>
  <c r="K17" i="11"/>
  <c r="K29" i="11"/>
  <c r="F6" i="11"/>
  <c r="K15" i="11"/>
  <c r="K27" i="11"/>
  <c r="K103" i="11"/>
  <c r="L103" i="11" s="1"/>
  <c r="E7" i="11"/>
  <c r="I100" i="11"/>
  <c r="F109" i="11"/>
  <c r="K58" i="11"/>
  <c r="K71" i="11"/>
  <c r="I98" i="11"/>
  <c r="D151" i="11"/>
  <c r="K99" i="11"/>
  <c r="K61" i="11"/>
  <c r="F105" i="11"/>
  <c r="I108" i="11"/>
  <c r="I107" i="11"/>
  <c r="K109" i="11"/>
  <c r="K16" i="11"/>
  <c r="K28" i="11"/>
  <c r="G114" i="11" l="1"/>
  <c r="I140" i="11"/>
  <c r="I134" i="11"/>
  <c r="D153" i="11"/>
  <c r="L47" i="11"/>
  <c r="E153" i="11" s="1"/>
  <c r="G116" i="11"/>
  <c r="I132" i="11"/>
  <c r="I137" i="11"/>
  <c r="G124" i="11"/>
  <c r="I133" i="11"/>
  <c r="I145" i="11"/>
  <c r="I143" i="11"/>
  <c r="E11" i="11"/>
  <c r="K56" i="11"/>
  <c r="G117" i="11"/>
  <c r="G120" i="11"/>
  <c r="I138" i="11"/>
  <c r="I144" i="11"/>
  <c r="L67" i="11"/>
  <c r="K59" i="11"/>
  <c r="D156" i="11" a="1"/>
  <c r="D156" i="11" s="1"/>
  <c r="I131" i="11"/>
  <c r="I146" i="11"/>
  <c r="G123" i="11"/>
  <c r="G122" i="11"/>
  <c r="L65" i="11"/>
  <c r="F7" i="11"/>
  <c r="E155" i="11"/>
  <c r="D155" i="11"/>
  <c r="L108" i="11"/>
  <c r="K108" i="11"/>
  <c r="K63" i="11"/>
  <c r="K100" i="11"/>
  <c r="L100" i="11" s="1"/>
  <c r="L98" i="11"/>
  <c r="K98" i="11"/>
  <c r="L57" i="11"/>
  <c r="K57" i="11"/>
  <c r="K107" i="11"/>
  <c r="L107" i="11" s="1"/>
  <c r="L53" i="11"/>
  <c r="K53" i="11"/>
  <c r="K102" i="11"/>
  <c r="L102" i="11" s="1"/>
  <c r="F11" i="11"/>
  <c r="L72" i="11"/>
  <c r="K72" i="11"/>
  <c r="L68" i="11"/>
  <c r="D154" i="11" s="1"/>
  <c r="K68" i="11"/>
  <c r="L109" i="11"/>
  <c r="E154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<sst xmlns="http://schemas.openxmlformats.org/spreadsheetml/2006/main" count="795" uniqueCount="370">
  <si>
    <t>Nom</t>
  </si>
  <si>
    <t>Type</t>
  </si>
  <si>
    <t>Rareté</t>
  </si>
  <si>
    <t>Prix de base</t>
  </si>
  <si>
    <t>Effet</t>
  </si>
  <si>
    <t>Valeur effet</t>
  </si>
  <si>
    <t>Plasma Pistol MK-I</t>
  </si>
  <si>
    <t>weapon</t>
  </si>
  <si>
    <t>common</t>
  </si>
  <si>
    <t>attack_boost</t>
  </si>
  <si>
    <t>Vibro-Blade</t>
  </si>
  <si>
    <t>Budget Arms Unity+</t>
  </si>
  <si>
    <t>Neural Disruptor</t>
  </si>
  <si>
    <t>uncommon</t>
  </si>
  <si>
    <t>Kang Tao Shock Carbine</t>
  </si>
  <si>
    <t>Railgun X-7</t>
  </si>
  <si>
    <t>rare</t>
  </si>
  <si>
    <t>Militech Crusher Custom</t>
  </si>
  <si>
    <t>Void Cannon</t>
  </si>
  <si>
    <t>epic</t>
  </si>
  <si>
    <t>Arasaka Revenant Smartgun</t>
  </si>
  <si>
    <t>OMEGA Protocol</t>
  </si>
  <si>
    <t>legendary</t>
  </si>
  <si>
    <t>Blackwall Breacher</t>
  </si>
  <si>
    <t>Kevlar Vest</t>
  </si>
  <si>
    <t>armor</t>
  </si>
  <si>
    <t>defense_boost</t>
  </si>
  <si>
    <t>Tyger Claws Reinforced Coat</t>
  </si>
  <si>
    <t>Nanoweave Jacket</t>
  </si>
  <si>
    <t>Trauma Team Ballistic Mesh</t>
  </si>
  <si>
    <t>Titanium Exosuit</t>
  </si>
  <si>
    <t>Militech Bastion Frame</t>
  </si>
  <si>
    <t>Quantum Shield Matrix</t>
  </si>
  <si>
    <t>Arasaka Specter Weave</t>
  </si>
  <si>
    <t>Ghost Shell</t>
  </si>
  <si>
    <t>Mikoshi Nullskin</t>
  </si>
  <si>
    <t>Reflex Booster v1</t>
  </si>
  <si>
    <t>implant</t>
  </si>
  <si>
    <t>click_multiplier</t>
  </si>
  <si>
    <t>Kiroshi Pulse Sync</t>
  </si>
  <si>
    <t>Neural Accelerator</t>
  </si>
  <si>
    <t>Sandevistan Lite</t>
  </si>
  <si>
    <t>Synaptic Overdrive</t>
  </si>
  <si>
    <t>QianT Synapse Rail</t>
  </si>
  <si>
    <t>Quantum Consciousness</t>
  </si>
  <si>
    <t>Mantis Driver Suite</t>
  </si>
  <si>
    <t>Singularity Core</t>
  </si>
  <si>
    <t>Militech Apogee Sandevistan</t>
  </si>
  <si>
    <t>Relic Overclock Kernel</t>
  </si>
  <si>
    <t>Static Mohawk</t>
  </si>
  <si>
    <t>clothes_hair</t>
  </si>
  <si>
    <t>Acid Bob</t>
  </si>
  <si>
    <t>Ghost Braids</t>
  </si>
  <si>
    <t>Chromehawk Crown</t>
  </si>
  <si>
    <t>Kiroshi Night Visor</t>
  </si>
  <si>
    <t>clothes_face</t>
  </si>
  <si>
    <t>Carbon Half Mask</t>
  </si>
  <si>
    <t>Oni Signal Mask</t>
  </si>
  <si>
    <t>Blackwall Respirator</t>
  </si>
  <si>
    <t>Hexline Jacket</t>
  </si>
  <si>
    <t>clothes_outer</t>
  </si>
  <si>
    <t>Nightglass Trench</t>
  </si>
  <si>
    <t>Chrome Bolero</t>
  </si>
  <si>
    <t>Holo Weave Shell</t>
  </si>
  <si>
    <t>Backalley Cargos</t>
  </si>
  <si>
    <t>clothes_legs</t>
  </si>
  <si>
    <t>Techwear Striders</t>
  </si>
  <si>
    <t>Zero-G Runners</t>
  </si>
  <si>
    <t>Exo-Leg Rails</t>
  </si>
  <si>
    <t>Stim Pack</t>
  </si>
  <si>
    <t>consumable</t>
  </si>
  <si>
    <t>hp_restore</t>
  </si>
  <si>
    <t>MedGel Capsule</t>
  </si>
  <si>
    <t>Phoenix Serum</t>
  </si>
  <si>
    <t>CyberBoost Energy</t>
  </si>
  <si>
    <t>temp_click_boost</t>
  </si>
  <si>
    <t>XP Chip</t>
  </si>
  <si>
    <t>xp_boost</t>
  </si>
  <si>
    <t>Neural Respec Chip</t>
  </si>
  <si>
    <t>talent_respec</t>
  </si>
  <si>
    <t>Finger Servos</t>
  </si>
  <si>
    <t>upgrade</t>
  </si>
  <si>
    <t>permanent_click</t>
  </si>
  <si>
    <t>Haptic Amplifier</t>
  </si>
  <si>
    <t>Neural Click Matrix</t>
  </si>
  <si>
    <t>Quantum Tap Interface</t>
  </si>
  <si>
    <t>Item</t>
  </si>
  <si>
    <t>Prix base</t>
  </si>
  <si>
    <t>Prix shop (override)</t>
  </si>
  <si>
    <t>Stock</t>
  </si>
  <si>
    <t>Actif</t>
  </si>
  <si>
    <t>Tier</t>
  </si>
  <si>
    <t>HP</t>
  </si>
  <si>
    <t>ATK</t>
  </si>
  <si>
    <t>DEF</t>
  </si>
  <si>
    <t>XP</t>
  </si>
  <si>
    <t>Credits Min</t>
  </si>
  <si>
    <t>Credits Max</t>
  </si>
  <si>
    <t>Crit%</t>
  </si>
  <si>
    <t>CritDmg%</t>
  </si>
  <si>
    <t>Glitched Drone</t>
  </si>
  <si>
    <t>Neon Rat</t>
  </si>
  <si>
    <t>Street Thug</t>
  </si>
  <si>
    <t>Rogue AI Drone</t>
  </si>
  <si>
    <t>Cyber Jackal</t>
  </si>
  <si>
    <t>DataWraith</t>
  </si>
  <si>
    <t>Corp Security Bot</t>
  </si>
  <si>
    <t>Netrunner Assassin</t>
  </si>
  <si>
    <t>Mech Walker</t>
  </si>
  <si>
    <t>ARCHON</t>
  </si>
  <si>
    <t>Chrome Dragon</t>
  </si>
  <si>
    <t>The Void King</t>
  </si>
  <si>
    <t>Black ICE Hound</t>
  </si>
  <si>
    <t>Maelstrom Ripper</t>
  </si>
  <si>
    <t>Militech Suppressor</t>
  </si>
  <si>
    <t>Arasaka Counter-Intel</t>
  </si>
  <si>
    <t>Sandevistan Duelist</t>
  </si>
  <si>
    <t>Cyberpsycho Dragoon</t>
  </si>
  <si>
    <t>Cerberus Siege Frame</t>
  </si>
  <si>
    <t>Blackwall Seraph</t>
  </si>
  <si>
    <t>Mikoshi Warden</t>
  </si>
  <si>
    <t>Soulkiller Prime</t>
  </si>
  <si>
    <t>Ennemi</t>
  </si>
  <si>
    <t>Chance de drop</t>
  </si>
  <si>
    <t>Etage</t>
  </si>
  <si>
    <t>Niveau min</t>
  </si>
  <si>
    <t>Ennemis</t>
  </si>
  <si>
    <t>Boss</t>
  </si>
  <si>
    <t>Joueurs min</t>
  </si>
  <si>
    <t>Joueurs max</t>
  </si>
  <si>
    <t>Neon Alley</t>
  </si>
  <si>
    <t>Glitched Drone, Neon Rat, Street Thug</t>
  </si>
  <si>
    <t>Abandoned Metro</t>
  </si>
  <si>
    <t>Glitched Drone, Neon Rat, Street Thug, Rogue AI Drone</t>
  </si>
  <si>
    <t>Data Catacombs</t>
  </si>
  <si>
    <t>Rogue AI Drone, Cyber Jackal, DataWraith</t>
  </si>
  <si>
    <t>Corporate Spire - Lower</t>
  </si>
  <si>
    <t>Cyber Jackal, DataWraith, Corp Security Bot, Netrunner Assassin</t>
  </si>
  <si>
    <t>Corporate Spire - Upper</t>
  </si>
  <si>
    <t>Corp Security Bot, Netrunner Assassin, Mech Walker</t>
  </si>
  <si>
    <t>The Void</t>
  </si>
  <si>
    <t>Mech Walker, ARCHON, Chrome Dragon</t>
  </si>
  <si>
    <t>Pacifica Black Site</t>
  </si>
  <si>
    <t>Black ICE Hound, Maelstrom Ripper, Militech Suppressor</t>
  </si>
  <si>
    <t>Dogtown Kill Corridors</t>
  </si>
  <si>
    <t>Black ICE Hound, Militech Suppressor, Arasaka Counter-Intel</t>
  </si>
  <si>
    <t>Arasaka Counterintel Vault</t>
  </si>
  <si>
    <t>Militech Suppressor, Arasaka Counter-Intel, Sandevistan Duelist, Cyberpsycho Dragoon</t>
  </si>
  <si>
    <t>Cynosure Relay</t>
  </si>
  <si>
    <t>Arasaka Counter-Intel, Sandevistan Duelist, Cyberpsycho Dragoon, Cerberus Siege Frame</t>
  </si>
  <si>
    <t>Mikoshi Access Spine</t>
  </si>
  <si>
    <t>Cerberus Siege Frame, Blackwall Seraph, Mikoshi Warden</t>
  </si>
  <si>
    <t>Blackwall Breach</t>
  </si>
  <si>
    <t>Blackwall Seraph, Mikoshi Warden, Soulkiller Prime</t>
  </si>
  <si>
    <t>Type bonus</t>
  </si>
  <si>
    <t>Valeur bonus</t>
  </si>
  <si>
    <t>Prix</t>
  </si>
  <si>
    <t>Micro-Drone MK1</t>
  </si>
  <si>
    <t>cpc_flat</t>
  </si>
  <si>
    <t>Rat Cybernétique</t>
  </si>
  <si>
    <t>cps_flat</t>
  </si>
  <si>
    <t>Bot Bouclier</t>
  </si>
  <si>
    <t>def_flat</t>
  </si>
  <si>
    <t>Falcon Electrique</t>
  </si>
  <si>
    <t>crit_chance</t>
  </si>
  <si>
    <t>Spider-Bot</t>
  </si>
  <si>
    <t>atk_flat</t>
  </si>
  <si>
    <t>Nanites Collecteurs</t>
  </si>
  <si>
    <t>Drone Tactique V2</t>
  </si>
  <si>
    <t>Loup Chrome</t>
  </si>
  <si>
    <t>Medic-Bot</t>
  </si>
  <si>
    <t>hp_flat</t>
  </si>
  <si>
    <t>Phoenix Digital</t>
  </si>
  <si>
    <t>Golem de Données</t>
  </si>
  <si>
    <t>NEXUS - IA Rogue</t>
  </si>
  <si>
    <t>Dragon Holographique</t>
  </si>
  <si>
    <t>Niveau</t>
  </si>
  <si>
    <t>XP pour next</t>
  </si>
  <si>
    <t>XP cumulé</t>
  </si>
  <si>
    <t>HP Max</t>
  </si>
  <si>
    <t>CPC</t>
  </si>
  <si>
    <t>CPS</t>
  </si>
  <si>
    <t>Talent Pts cumulés</t>
  </si>
  <si>
    <t>Objectif</t>
  </si>
  <si>
    <t>Récompense type</t>
  </si>
  <si>
    <t>Récompense valeur</t>
  </si>
  <si>
    <t>Routine de hack</t>
  </si>
  <si>
    <t>click</t>
  </si>
  <si>
    <t>credits</t>
  </si>
  <si>
    <t>Hack intensif</t>
  </si>
  <si>
    <t>Overdrive</t>
  </si>
  <si>
    <t>xp</t>
  </si>
  <si>
    <t>Nettoyage de rue</t>
  </si>
  <si>
    <t>kill</t>
  </si>
  <si>
    <t>Chasseur de primes</t>
  </si>
  <si>
    <t>Exterminateur</t>
  </si>
  <si>
    <t>Exploration</t>
  </si>
  <si>
    <t>dungeon_clear</t>
  </si>
  <si>
    <t>Plongee profonde</t>
  </si>
  <si>
    <t>Premier million</t>
  </si>
  <si>
    <t>earn_credits</t>
  </si>
  <si>
    <t>Flux de données</t>
  </si>
  <si>
    <t>Gladiateur</t>
  </si>
  <si>
    <t>pvp_win</t>
  </si>
  <si>
    <t>Champion de l'arene</t>
  </si>
  <si>
    <t>Niveau requis</t>
  </si>
  <si>
    <t>Coût (PT)</t>
  </si>
  <si>
    <t>PT cumulés</t>
  </si>
  <si>
    <t>Spec</t>
  </si>
  <si>
    <t>Skill</t>
  </si>
  <si>
    <t>Tier requis</t>
  </si>
  <si>
    <t>Type effet</t>
  </si>
  <si>
    <t>Valeur</t>
  </si>
  <si>
    <t>Durée (tours)</t>
  </si>
  <si>
    <t>Cooldown (tours)</t>
  </si>
  <si>
    <t>Hacker</t>
  </si>
  <si>
    <t>Breach Protocol</t>
  </si>
  <si>
    <t>debuff_def</t>
  </si>
  <si>
    <t>Short Circuit</t>
  </si>
  <si>
    <t>pure_damage</t>
  </si>
  <si>
    <t>Backdoor</t>
  </si>
  <si>
    <t>steal_damage</t>
  </si>
  <si>
    <t>Kernel Panic</t>
  </si>
  <si>
    <t>damage_stun</t>
  </si>
  <si>
    <t>Netrunner</t>
  </si>
  <si>
    <t>Ping Scan</t>
  </si>
  <si>
    <t>guaranteed_crit</t>
  </si>
  <si>
    <t>ICE Breaker</t>
  </si>
  <si>
    <t>purge_damage</t>
  </si>
  <si>
    <t>Neural Overload</t>
  </si>
  <si>
    <t>System Restore</t>
  </si>
  <si>
    <t>heal_percent</t>
  </si>
  <si>
    <t>Samurai</t>
  </si>
  <si>
    <t>Wired Reflexes</t>
  </si>
  <si>
    <t>double_hit</t>
  </si>
  <si>
    <t>Mono-Edge Slash</t>
  </si>
  <si>
    <t>damage_dot</t>
  </si>
  <si>
    <t>Subdermal Shield</t>
  </si>
  <si>
    <t>shield</t>
  </si>
  <si>
    <t>Adrenaline Surge</t>
  </si>
  <si>
    <t>mega_strike</t>
  </si>
  <si>
    <t>Chrome Dealer</t>
  </si>
  <si>
    <t>Deploy Turret</t>
  </si>
  <si>
    <t>turret</t>
  </si>
  <si>
    <t>Repair Nanobots</t>
  </si>
  <si>
    <t>EMP Blast</t>
  </si>
  <si>
    <t>debuff_atk</t>
  </si>
  <si>
    <t>Chrome Overcharge</t>
  </si>
  <si>
    <t>buff_all</t>
  </si>
  <si>
    <t>⚡ HEROES ECONOMY — BALANCE DASHBOARD</t>
  </si>
  <si>
    <t>Analyse d'équilibrage : Combat • Économie • Progression • Loot</t>
  </si>
  <si>
    <t>📦 ITEMS PAR RARETÉ &amp; TYPE</t>
  </si>
  <si>
    <t>Weapons</t>
  </si>
  <si>
    <t>Armors</t>
  </si>
  <si>
    <t>Implants</t>
  </si>
  <si>
    <t>Autres</t>
  </si>
  <si>
    <t>Total</t>
  </si>
  <si>
    <t>Common</t>
  </si>
  <si>
    <t>Uncommon</t>
  </si>
  <si>
    <t>Rare</t>
  </si>
  <si>
    <t>Epic</t>
  </si>
  <si>
    <t>Legendary</t>
  </si>
  <si>
    <t>TOTAL</t>
  </si>
  <si>
    <t>💰 PRIX MOYEN PAR RARETÉ</t>
  </si>
  <si>
    <t>Prix Min</t>
  </si>
  <si>
    <t>Prix Max</t>
  </si>
  <si>
    <t>Prix Moyen</t>
  </si>
  <si>
    <t>⚔️ COMBAT BALANCE — JOUEUR vs ENNEMIS</t>
  </si>
  <si>
    <t>Niv. Min Donjon</t>
  </si>
  <si>
    <t>HP Ennemi</t>
  </si>
  <si>
    <t>ATK Ennemi</t>
  </si>
  <si>
    <t>DEF Ennemi</t>
  </si>
  <si>
    <t>HP Joueur @Niv</t>
  </si>
  <si>
    <t>ATK Joueur @Niv</t>
  </si>
  <si>
    <t>DEF Joueur @Niv</t>
  </si>
  <si>
    <t>Ratio HP (Joueur/Ennemi)</t>
  </si>
  <si>
    <t>Ratio ATK (J/E)</t>
  </si>
  <si>
    <t>Ratio DEF (J/E)</t>
  </si>
  <si>
    <t>Coups pour tuer ennemi</t>
  </si>
  <si>
    <t>⚠️ Équilibré?</t>
  </si>
  <si>
    <t>💰 ÉCONOMIE — REVENUS vs COÛTS D'ÉQUIPEMENT</t>
  </si>
  <si>
    <t>Tier Ennemi</t>
  </si>
  <si>
    <t>Crédits Moy/Kill</t>
  </si>
  <si>
    <t>Meilleure Arme Tier</t>
  </si>
  <si>
    <t>Prix Arme</t>
  </si>
  <si>
    <t>Meilleure Armure Tier</t>
  </si>
  <si>
    <t>Prix Armure</t>
  </si>
  <si>
    <t>Meilleur Implant Tier</t>
  </si>
  <si>
    <t>Prix Implant</t>
  </si>
  <si>
    <t>Coût Total Équip</t>
  </si>
  <si>
    <t>Kills pour équip</t>
  </si>
  <si>
    <t>XP Moy/Kill</t>
  </si>
  <si>
    <t>Heures estimées</t>
  </si>
  <si>
    <t>Tier 1</t>
  </si>
  <si>
    <t>Tier 2</t>
  </si>
  <si>
    <t>Tier 3</t>
  </si>
  <si>
    <t>Tier 4</t>
  </si>
  <si>
    <t>Tier 5</t>
  </si>
  <si>
    <t>Tier 6</t>
  </si>
  <si>
    <t>Tier 7</t>
  </si>
  <si>
    <t>🎲 LOOT VALUE — VALEUR ESPÉRÉE DES DROPS</t>
  </si>
  <si>
    <t>Drop 1</t>
  </si>
  <si>
    <t>% Drop 1</t>
  </si>
  <si>
    <t>Prix Drop 1</t>
  </si>
  <si>
    <t>Drop 2</t>
  </si>
  <si>
    <t>% Drop 2</t>
  </si>
  <si>
    <t>Prix Drop 2</t>
  </si>
  <si>
    <t>Valeur Espérée Loot</t>
  </si>
  <si>
    <t>Valeur Totale/Kill</t>
  </si>
  <si>
    <t>Ratio Loot/Crédits</t>
  </si>
  <si>
    <t>📈 PROGRESSION SCALING — COURBE DE PUISSANCE</t>
  </si>
  <si>
    <t>XP Cumulé</t>
  </si>
  <si>
    <t>HP Joueur</t>
  </si>
  <si>
    <t>ATK Joueur</t>
  </si>
  <si>
    <t>DEF Joueur</t>
  </si>
  <si>
    <t>Tier Donjon Dispo</t>
  </si>
  <si>
    <t>HP Ennemi Max Tier</t>
  </si>
  <si>
    <t>ATK Ennemi Max Tier</t>
  </si>
  <si>
    <t>DEF Ennemi Max Tier</t>
  </si>
  <si>
    <t>Surplus HP %</t>
  </si>
  <si>
    <t>Surplus ATK %</t>
  </si>
  <si>
    <t>⚠️ Difficulté</t>
  </si>
  <si>
    <t>🏰 DONJON — DIFFICULTÉ PAR ÉTAGE</t>
  </si>
  <si>
    <t>Étage</t>
  </si>
  <si>
    <t>Niv. Min</t>
  </si>
  <si>
    <t>Joueurs Min</t>
  </si>
  <si>
    <t>Joueurs Max</t>
  </si>
  <si>
    <t>HP Joueur @Min</t>
  </si>
  <si>
    <t>ATK Joueur @Min</t>
  </si>
  <si>
    <t>Boss?</t>
  </si>
  <si>
    <t>HP Boss</t>
  </si>
  <si>
    <t>ATK Boss</t>
  </si>
  <si>
    <t>Coups Solo vs Boss</t>
  </si>
  <si>
    <t>⚠️ Solo Possible?</t>
  </si>
  <si>
    <t>🐾 COMPANIONS — RAPPORT QUALITÉ/PRIX</t>
  </si>
  <si>
    <t>Type Bonus</t>
  </si>
  <si>
    <t>Valeur Bonus</t>
  </si>
  <si>
    <t>Valeur/1000 Crédits</t>
  </si>
  <si>
    <t>⚠️ Rapport</t>
  </si>
  <si>
    <t>🎯 COMBAT SKILLS — EFFICACITÉ PAR SPEC</t>
  </si>
  <si>
    <t>Tier Requis</t>
  </si>
  <si>
    <t>Type Effet</t>
  </si>
  <si>
    <t>Durée</t>
  </si>
  <si>
    <t>Cooldown</t>
  </si>
  <si>
    <t>Efficacité (Val/CD)</t>
  </si>
  <si>
    <t>Rang</t>
  </si>
  <si>
    <t>🔔 ALERTES D'ÉQUILIBRAGE</t>
  </si>
  <si>
    <t>#</t>
  </si>
  <si>
    <t>Catégorie</t>
  </si>
  <si>
    <t>Problème Détecté</t>
  </si>
  <si>
    <t>Sévérité</t>
  </si>
  <si>
    <t>Détail</t>
  </si>
  <si>
    <t>Écart prix legendary vs epic</t>
  </si>
  <si>
    <t>Combat</t>
  </si>
  <si>
    <t>Ennemis T7 vs Joueur Nv40</t>
  </si>
  <si>
    <t>Économie</t>
  </si>
  <si>
    <t>Kills pour s'équiper Tier 7</t>
  </si>
  <si>
    <t>Loot</t>
  </si>
  <si>
    <t>Valeur loot max vs crédits</t>
  </si>
  <si>
    <t>Donjon</t>
  </si>
  <si>
    <t>Boss étage 12 vs joueur min</t>
  </si>
  <si>
    <t>Skills</t>
  </si>
  <si>
    <t>Écart efficacité max/min</t>
  </si>
  <si>
    <t>Shop</t>
  </si>
  <si>
    <t>Items inactifs dans le shop</t>
  </si>
  <si>
    <t>XP pour atteindre niveau 150</t>
  </si>
  <si>
    <t>HP Ennemi Max (Tier)</t>
  </si>
  <si>
    <t>ATK Ennemi Max (Tier)</t>
  </si>
  <si>
    <t>HP Ennemi Max</t>
  </si>
  <si>
    <t>ATK Ennemi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</si>
</sst>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AAAAAA"/>
      <name val="Calibri"/>
      <family val="2"/>
      <scheme val="minor"/>
    </font>
    <font>
      <b/>
      <sz val="13"/>
      <color rgb="FFFF66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DDDDDD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DDDDDD"/>
      <name val="Calibri"/>
      <family val="2"/>
      <scheme val="minor"/>
    </font>
    <font>
      <b/>
      <sz val="13"/>
      <color rgb="FFFF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2A2A3E"/>
        <bgColor indexed="64"/>
      </patternFill>
    </fill>
    <fill>
      <patternFill patternType="solid">
        <fgColor rgb="FF3A3A5E"/>
        <bgColor indexed="64"/>
      </patternFill>
    </fill>
    <fill>
      <patternFill patternType="solid">
        <fgColor rgb="FF1E1E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7" fillId="3" borderId="0" xfId="0" applyFont="1" applyFill="1"/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/>
  </cellXfs>
  <cellStyles count="1">
    <cellStyle name="Normal" xfId="0" builtinId="0"/>
  </cellStyles>
  <dxfs count="15">
    <dxf>
      <font>
        <color rgb="FF55FF55"/>
      </font>
      <fill>
        <patternFill patternType="solid">
          <fgColor indexed="64"/>
          <bgColor rgb="FF1A4A1A"/>
        </patternFill>
      </fill>
    </dxf>
    <dxf>
      <font>
        <color rgb="FFFF5555"/>
      </font>
      <fill>
        <patternFill patternType="solid">
          <fgColor indexed="64"/>
          <bgColor rgb="FF4A1A1A"/>
        </patternFill>
      </fill>
    </dxf>
    <dxf>
      <font>
        <color rgb="FFFFFF55"/>
      </font>
      <fill>
        <patternFill patternType="solid">
          <fgColor indexed="64"/>
          <bgColor rgb="FF4A4A1A"/>
        </patternFill>
      </fill>
    </dxf>
    <dxf>
      <font>
        <color rgb="FF55FF55"/>
      </font>
      <fill>
        <patternFill patternType="solid">
          <fgColor indexed="64"/>
          <bgColor rgb="FF1A4A1A"/>
        </patternFill>
      </fill>
    </dxf>
    <dxf>
      <font>
        <color rgb="FFFF5555"/>
      </font>
      <fill>
        <patternFill patternType="solid">
          <fgColor indexed="64"/>
          <bgColor rgb="FF4A1A1A"/>
        </patternFill>
      </fill>
    </dxf>
    <dxf>
      <font>
        <color rgb="FF55FF55"/>
      </font>
      <fill>
        <patternFill patternType="solid">
          <fgColor indexed="64"/>
          <bgColor rgb="FF1A4A1A"/>
        </patternFill>
      </fill>
    </dxf>
    <dxf>
      <font>
        <color rgb="FFFF5555"/>
      </font>
      <fill>
        <patternFill patternType="solid">
          <fgColor indexed="64"/>
          <bgColor rgb="FF4A1A1A"/>
        </patternFill>
      </fill>
    </dxf>
    <dxf>
      <font>
        <color rgb="FFFFFF55"/>
      </font>
      <fill>
        <patternFill patternType="solid">
          <fgColor indexed="64"/>
          <bgColor rgb="FF4A4A1A"/>
        </patternFill>
      </fill>
    </dxf>
    <dxf>
      <font>
        <color rgb="FF55FF55"/>
      </font>
      <fill>
        <patternFill patternType="solid">
          <fgColor indexed="64"/>
          <bgColor rgb="FF1A4A1A"/>
        </patternFill>
      </fill>
    </dxf>
    <dxf>
      <font>
        <color rgb="FFFF5555"/>
      </font>
      <fill>
        <patternFill patternType="solid">
          <fgColor indexed="64"/>
          <bgColor rgb="FF4A1A1A"/>
        </patternFill>
      </fill>
    </dxf>
    <dxf>
      <font>
        <color rgb="FFFFFF55"/>
      </font>
      <fill>
        <patternFill patternType="solid">
          <fgColor indexed="64"/>
          <bgColor rgb="FF4A4A1A"/>
        </patternFill>
      </fill>
    </dxf>
    <dxf>
      <font>
        <color rgb="FF55FF55"/>
      </font>
      <fill>
        <patternFill patternType="solid">
          <fgColor indexed="64"/>
          <bgColor rgb="FF1A4A1A"/>
        </patternFill>
      </fill>
    </dxf>
    <dxf>
      <font>
        <color rgb="FFFF5555"/>
      </font>
      <fill>
        <patternFill patternType="solid">
          <fgColor indexed="64"/>
          <bgColor rgb="FF4A1A1A"/>
        </patternFill>
      </fill>
    </dxf>
    <dxf>
      <font>
        <color rgb="FF55FF55"/>
      </font>
      <fill>
        <patternFill patternType="solid">
          <fgColor indexed="64"/>
          <bgColor rgb="FF1A4A1A"/>
        </patternFill>
      </fill>
    </dxf>
    <dxf>
      <font>
        <color rgb="FFFF5555"/>
      </font>
      <fill>
        <patternFill patternType="solid">
          <fgColor indexed="64"/>
          <bgColor rgb="FF4A1A1A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⚔️ HP Scaling: Joueur vs Ennemi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Dashboard!$V$1</c:f>
              <c:strCache>
                <c:ptCount val="1"/>
                <c:pt idx="0">
                  <c:v>Niveau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Dashboard!$V$2:$V$18</c:f>
            </c:numRef>
          </c:val>
          <c:smooth val="0"/>
          <c:extLst>
            <c:ext xmlns:c16="http://schemas.microsoft.com/office/drawing/2014/chart" uri="{C3380CC4-5D6E-409C-BE32-E72D297353CC}">
              <c16:uniqueId val="{00000000-8CB6-FC40-9003-05307C3FCBC9}"/>
            </c:ext>
          </c:extLst>
        </c:ser>
        <c:ser>
          <c:idx val="1"/>
          <c:order val="1"/>
          <c:tx>
            <c:strRef>
              <c:f>Dashboard!$W$1</c:f>
              <c:strCache>
                <c:ptCount val="1"/>
                <c:pt idx="0">
                  <c:v>HP Joueur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Dashboard!$W$2:$W$18</c:f>
            </c:numRef>
          </c:val>
          <c:smooth val="0"/>
          <c:extLst>
            <c:ext xmlns:c16="http://schemas.microsoft.com/office/drawing/2014/chart" uri="{C3380CC4-5D6E-409C-BE32-E72D297353CC}">
              <c16:uniqueId val="{00000001-8CB6-FC40-9003-05307C3FCBC9}"/>
            </c:ext>
          </c:extLst>
        </c:ser>
        <c:ser>
          <c:idx val="2"/>
          <c:order val="2"/>
          <c:tx>
            <c:strRef>
              <c:f>Dashboard!$X$1</c:f>
              <c:strCache>
                <c:ptCount val="1"/>
                <c:pt idx="0">
                  <c:v>HP Ennemi 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Dashboard!$X$2:$X$18</c:f>
            </c:numRef>
          </c:val>
          <c:smooth val="0"/>
          <c:extLst>
            <c:ext xmlns:c16="http://schemas.microsoft.com/office/drawing/2014/chart" uri="{C3380CC4-5D6E-409C-BE32-E72D297353CC}">
              <c16:uniqueId val="{00000002-8CB6-FC40-9003-05307C3FC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126464"/>
        <c:axId val="1115022080"/>
      </c:lineChart>
      <c:catAx>
        <c:axId val="115212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22080"/>
        <c:crosses val="autoZero"/>
        <c:auto val="1"/>
        <c:lblAlgn val="ctr"/>
        <c:lblOffset val="100"/>
        <c:noMultiLvlLbl val="0"/>
      </c:catAx>
      <c:valAx>
        <c:axId val="11150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1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⚔️ ATK Scaling: Joueur vs Ennemi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Dashboard!$Z$1</c:f>
              <c:strCache>
                <c:ptCount val="1"/>
                <c:pt idx="0">
                  <c:v>Niveau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Dashboard!$Z$2:$Z$18</c:f>
            </c:numRef>
          </c:val>
          <c:smooth val="0"/>
          <c:extLst>
            <c:ext xmlns:c16="http://schemas.microsoft.com/office/drawing/2014/chart" uri="{C3380CC4-5D6E-409C-BE32-E72D297353CC}">
              <c16:uniqueId val="{00000000-513E-9B41-8DB0-074F5BB25FC5}"/>
            </c:ext>
          </c:extLst>
        </c:ser>
        <c:ser>
          <c:idx val="1"/>
          <c:order val="1"/>
          <c:tx>
            <c:strRef>
              <c:f>Dashboard!$AA$1</c:f>
              <c:strCache>
                <c:ptCount val="1"/>
                <c:pt idx="0">
                  <c:v>ATK Joueur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Dashboard!$AA$2:$AA$18</c:f>
            </c:numRef>
          </c:val>
          <c:smooth val="0"/>
          <c:extLst>
            <c:ext xmlns:c16="http://schemas.microsoft.com/office/drawing/2014/chart" uri="{C3380CC4-5D6E-409C-BE32-E72D297353CC}">
              <c16:uniqueId val="{00000001-513E-9B41-8DB0-074F5BB25FC5}"/>
            </c:ext>
          </c:extLst>
        </c:ser>
        <c:ser>
          <c:idx val="2"/>
          <c:order val="2"/>
          <c:tx>
            <c:strRef>
              <c:f>Dashboard!$AB$1</c:f>
              <c:strCache>
                <c:ptCount val="1"/>
                <c:pt idx="0">
                  <c:v>ATK Ennemi 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Dashboard!$AB$2:$AB$18</c:f>
            </c:numRef>
          </c:val>
          <c:smooth val="0"/>
          <c:extLst>
            <c:ext xmlns:c16="http://schemas.microsoft.com/office/drawing/2014/chart" uri="{C3380CC4-5D6E-409C-BE32-E72D297353CC}">
              <c16:uniqueId val="{00000002-513E-9B41-8DB0-074F5BB25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240896"/>
        <c:axId val="1094251200"/>
      </c:lineChart>
      <c:catAx>
        <c:axId val="1094240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51200"/>
        <c:crosses val="autoZero"/>
        <c:auto val="1"/>
        <c:lblAlgn val="ctr"/>
        <c:lblOffset val="100"/>
        <c:noMultiLvlLbl val="0"/>
      </c:catAx>
      <c:valAx>
        <c:axId val="10942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Fourchette de Prix par Rareté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Dashboard!$AE$1</c:f>
              <c:strCache>
                <c:ptCount val="1"/>
                <c:pt idx="0">
                  <c:v>Prix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Dashboard!$AE$2:$AE$6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Dashboard!$AD$2:$AD$6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5F-6444-B270-B62E9B1B92CC}"/>
            </c:ext>
          </c:extLst>
        </c:ser>
        <c:ser>
          <c:idx val="1"/>
          <c:order val="1"/>
          <c:tx>
            <c:strRef>
              <c:f>Dashboard!$AF$1</c:f>
              <c:strCache>
                <c:ptCount val="1"/>
                <c:pt idx="0">
                  <c:v>Prix 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Dashboard!$AF$2:$AF$6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Dashboard!$AD$2:$AD$6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5F-6444-B270-B62E9B1B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1502208"/>
        <c:axId val="1081500416"/>
      </c:barChart>
      <c:catAx>
        <c:axId val="10815022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00416"/>
        <c:crosses val="autoZero"/>
        <c:auto val="1"/>
        <c:lblAlgn val="ctr"/>
        <c:lblOffset val="100"/>
        <c:noMultiLvlLbl val="0"/>
      </c:catAx>
      <c:valAx>
        <c:axId val="108150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0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29</xdr:col>
      <xdr:colOff>444500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4F980-9563-FAAC-363F-D76CD0A7A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29</xdr:col>
      <xdr:colOff>444500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DECE8-A7AA-ECB2-2C2A-7C72721A7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32</xdr:col>
      <xdr:colOff>444500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F526A3-6A45-018E-64FB-919927AF2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CCA07E-D27C-1542-AEDB-38667AC230E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/>
  </sheetViews>
  <sheetFormatPr baseColWidth="10" defaultRowHeight="16" x14ac:dyDescent="0.2"/>
  <cols>
    <col min="1" max="1" width="30.83203125" customWidth="1"/>
    <col min="2" max="2" width="14.83203125" customWidth="1"/>
    <col min="3" max="4" width="12.83203125" customWidth="1"/>
    <col min="5" max="5" width="18.83203125" customWidth="1"/>
    <col min="6" max="6" width="12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100</v>
      </c>
      <c r="E2" t="s">
        <v>9</v>
      </c>
      <c r="F2">
        <v>5</v>
      </c>
    </row>
    <row r="3" spans="1:6" x14ac:dyDescent="0.2">
      <c r="A3" t="s">
        <v>10</v>
      </c>
      <c r="B3" t="s">
        <v>7</v>
      </c>
      <c r="C3" t="s">
        <v>8</v>
      </c>
      <c r="D3">
        <v>200</v>
      </c>
      <c r="E3" t="s">
        <v>9</v>
      </c>
      <c r="F3">
        <v>8</v>
      </c>
    </row>
    <row r="4" spans="1:6" x14ac:dyDescent="0.2">
      <c r="A4" t="s">
        <v>11</v>
      </c>
      <c r="B4" t="s">
        <v>7</v>
      </c>
      <c r="C4" t="s">
        <v>8</v>
      </c>
      <c r="D4">
        <v>350</v>
      </c>
      <c r="E4" t="s">
        <v>9</v>
      </c>
      <c r="F4">
        <v>11</v>
      </c>
    </row>
    <row r="5" spans="1:6" x14ac:dyDescent="0.2">
      <c r="A5" t="s">
        <v>12</v>
      </c>
      <c r="B5" t="s">
        <v>7</v>
      </c>
      <c r="C5" t="s">
        <v>13</v>
      </c>
      <c r="D5">
        <v>500</v>
      </c>
      <c r="E5" t="s">
        <v>9</v>
      </c>
      <c r="F5">
        <v>15</v>
      </c>
    </row>
    <row r="6" spans="1:6" x14ac:dyDescent="0.2">
      <c r="A6" t="s">
        <v>14</v>
      </c>
      <c r="B6" t="s">
        <v>7</v>
      </c>
      <c r="C6" t="s">
        <v>13</v>
      </c>
      <c r="D6">
        <v>1400</v>
      </c>
      <c r="E6" t="s">
        <v>9</v>
      </c>
      <c r="F6">
        <v>22</v>
      </c>
    </row>
    <row r="7" spans="1:6" x14ac:dyDescent="0.2">
      <c r="A7" t="s">
        <v>15</v>
      </c>
      <c r="B7" t="s">
        <v>7</v>
      </c>
      <c r="C7" t="s">
        <v>16</v>
      </c>
      <c r="D7">
        <v>1500</v>
      </c>
      <c r="E7" t="s">
        <v>9</v>
      </c>
      <c r="F7">
        <v>25</v>
      </c>
    </row>
    <row r="8" spans="1:6" x14ac:dyDescent="0.2">
      <c r="A8" t="s">
        <v>17</v>
      </c>
      <c r="B8" t="s">
        <v>7</v>
      </c>
      <c r="C8" t="s">
        <v>16</v>
      </c>
      <c r="D8">
        <v>8500</v>
      </c>
      <c r="E8" t="s">
        <v>9</v>
      </c>
      <c r="F8">
        <v>38</v>
      </c>
    </row>
    <row r="9" spans="1:6" x14ac:dyDescent="0.2">
      <c r="A9" t="s">
        <v>18</v>
      </c>
      <c r="B9" t="s">
        <v>7</v>
      </c>
      <c r="C9" t="s">
        <v>19</v>
      </c>
      <c r="D9">
        <v>5000</v>
      </c>
      <c r="E9" t="s">
        <v>9</v>
      </c>
      <c r="F9">
        <v>50</v>
      </c>
    </row>
    <row r="10" spans="1:6" x14ac:dyDescent="0.2">
      <c r="A10" t="s">
        <v>20</v>
      </c>
      <c r="B10" t="s">
        <v>7</v>
      </c>
      <c r="C10" t="s">
        <v>19</v>
      </c>
      <c r="D10">
        <v>52000</v>
      </c>
      <c r="E10" t="s">
        <v>9</v>
      </c>
      <c r="F10">
        <v>78</v>
      </c>
    </row>
    <row r="11" spans="1:6" x14ac:dyDescent="0.2">
      <c r="A11" t="s">
        <v>21</v>
      </c>
      <c r="B11" t="s">
        <v>7</v>
      </c>
      <c r="C11" t="s">
        <v>22</v>
      </c>
      <c r="D11">
        <v>20000</v>
      </c>
      <c r="E11" t="s">
        <v>9</v>
      </c>
      <c r="F11">
        <v>100</v>
      </c>
    </row>
    <row r="12" spans="1:6" x14ac:dyDescent="0.2">
      <c r="A12" t="s">
        <v>23</v>
      </c>
      <c r="B12" t="s">
        <v>7</v>
      </c>
      <c r="C12" t="s">
        <v>22</v>
      </c>
      <c r="D12">
        <v>240000</v>
      </c>
      <c r="E12" t="s">
        <v>9</v>
      </c>
      <c r="F12">
        <v>155</v>
      </c>
    </row>
    <row r="13" spans="1:6" x14ac:dyDescent="0.2">
      <c r="A13" t="s">
        <v>24</v>
      </c>
      <c r="B13" t="s">
        <v>25</v>
      </c>
      <c r="C13" t="s">
        <v>8</v>
      </c>
      <c r="D13">
        <v>80</v>
      </c>
      <c r="E13" t="s">
        <v>26</v>
      </c>
      <c r="F13">
        <v>3</v>
      </c>
    </row>
    <row r="14" spans="1:6" x14ac:dyDescent="0.2">
      <c r="A14" t="s">
        <v>27</v>
      </c>
      <c r="B14" t="s">
        <v>25</v>
      </c>
      <c r="C14" t="s">
        <v>8</v>
      </c>
      <c r="D14">
        <v>300</v>
      </c>
      <c r="E14" t="s">
        <v>26</v>
      </c>
      <c r="F14">
        <v>6</v>
      </c>
    </row>
    <row r="15" spans="1:6" x14ac:dyDescent="0.2">
      <c r="A15" t="s">
        <v>28</v>
      </c>
      <c r="B15" t="s">
        <v>25</v>
      </c>
      <c r="C15" t="s">
        <v>13</v>
      </c>
      <c r="D15">
        <v>400</v>
      </c>
      <c r="E15" t="s">
        <v>26</v>
      </c>
      <c r="F15">
        <v>10</v>
      </c>
    </row>
    <row r="16" spans="1:6" x14ac:dyDescent="0.2">
      <c r="A16" t="s">
        <v>29</v>
      </c>
      <c r="B16" t="s">
        <v>25</v>
      </c>
      <c r="C16" t="s">
        <v>13</v>
      </c>
      <c r="D16">
        <v>1250</v>
      </c>
      <c r="E16" t="s">
        <v>26</v>
      </c>
      <c r="F16">
        <v>15</v>
      </c>
    </row>
    <row r="17" spans="1:6" x14ac:dyDescent="0.2">
      <c r="A17" t="s">
        <v>30</v>
      </c>
      <c r="B17" t="s">
        <v>25</v>
      </c>
      <c r="C17" t="s">
        <v>16</v>
      </c>
      <c r="D17">
        <v>1200</v>
      </c>
      <c r="E17" t="s">
        <v>26</v>
      </c>
      <c r="F17">
        <v>20</v>
      </c>
    </row>
    <row r="18" spans="1:6" x14ac:dyDescent="0.2">
      <c r="A18" t="s">
        <v>31</v>
      </c>
      <c r="B18" t="s">
        <v>25</v>
      </c>
      <c r="C18" t="s">
        <v>16</v>
      </c>
      <c r="D18">
        <v>7800</v>
      </c>
      <c r="E18" t="s">
        <v>26</v>
      </c>
      <c r="F18">
        <v>30</v>
      </c>
    </row>
    <row r="19" spans="1:6" x14ac:dyDescent="0.2">
      <c r="A19" t="s">
        <v>32</v>
      </c>
      <c r="B19" t="s">
        <v>25</v>
      </c>
      <c r="C19" t="s">
        <v>19</v>
      </c>
      <c r="D19">
        <v>4000</v>
      </c>
      <c r="E19" t="s">
        <v>26</v>
      </c>
      <c r="F19">
        <v>40</v>
      </c>
    </row>
    <row r="20" spans="1:6" x14ac:dyDescent="0.2">
      <c r="A20" t="s">
        <v>33</v>
      </c>
      <c r="B20" t="s">
        <v>25</v>
      </c>
      <c r="C20" t="s">
        <v>19</v>
      </c>
      <c r="D20">
        <v>47000</v>
      </c>
      <c r="E20" t="s">
        <v>26</v>
      </c>
      <c r="F20">
        <v>58</v>
      </c>
    </row>
    <row r="21" spans="1:6" x14ac:dyDescent="0.2">
      <c r="A21" t="s">
        <v>34</v>
      </c>
      <c r="B21" t="s">
        <v>25</v>
      </c>
      <c r="C21" t="s">
        <v>22</v>
      </c>
      <c r="D21">
        <v>18000</v>
      </c>
      <c r="E21" t="s">
        <v>26</v>
      </c>
      <c r="F21">
        <v>80</v>
      </c>
    </row>
    <row r="22" spans="1:6" x14ac:dyDescent="0.2">
      <c r="A22" t="s">
        <v>35</v>
      </c>
      <c r="B22" t="s">
        <v>25</v>
      </c>
      <c r="C22" t="s">
        <v>22</v>
      </c>
      <c r="D22">
        <v>210000</v>
      </c>
      <c r="E22" t="s">
        <v>26</v>
      </c>
      <c r="F22">
        <v>125</v>
      </c>
    </row>
    <row r="23" spans="1:6" x14ac:dyDescent="0.2">
      <c r="A23" t="s">
        <v>36</v>
      </c>
      <c r="B23" t="s">
        <v>37</v>
      </c>
      <c r="C23" t="s">
        <v>8</v>
      </c>
      <c r="D23">
        <v>150</v>
      </c>
      <c r="E23" t="s">
        <v>38</v>
      </c>
      <c r="F23">
        <v>2</v>
      </c>
    </row>
    <row r="24" spans="1:6" x14ac:dyDescent="0.2">
      <c r="A24" t="s">
        <v>39</v>
      </c>
      <c r="B24" t="s">
        <v>37</v>
      </c>
      <c r="C24" t="s">
        <v>8</v>
      </c>
      <c r="D24">
        <v>400</v>
      </c>
      <c r="E24" t="s">
        <v>38</v>
      </c>
      <c r="F24">
        <v>4</v>
      </c>
    </row>
    <row r="25" spans="1:6" x14ac:dyDescent="0.2">
      <c r="A25" t="s">
        <v>40</v>
      </c>
      <c r="B25" t="s">
        <v>37</v>
      </c>
      <c r="C25" t="s">
        <v>13</v>
      </c>
      <c r="D25">
        <v>600</v>
      </c>
      <c r="E25" t="s">
        <v>38</v>
      </c>
      <c r="F25">
        <v>5</v>
      </c>
    </row>
    <row r="26" spans="1:6" x14ac:dyDescent="0.2">
      <c r="A26" t="s">
        <v>41</v>
      </c>
      <c r="B26" t="s">
        <v>37</v>
      </c>
      <c r="C26" t="s">
        <v>13</v>
      </c>
      <c r="D26">
        <v>1600</v>
      </c>
      <c r="E26" t="s">
        <v>38</v>
      </c>
      <c r="F26">
        <v>8</v>
      </c>
    </row>
    <row r="27" spans="1:6" x14ac:dyDescent="0.2">
      <c r="A27" t="s">
        <v>42</v>
      </c>
      <c r="B27" t="s">
        <v>37</v>
      </c>
      <c r="C27" t="s">
        <v>16</v>
      </c>
      <c r="D27">
        <v>2000</v>
      </c>
      <c r="E27" t="s">
        <v>38</v>
      </c>
      <c r="F27">
        <v>10</v>
      </c>
    </row>
    <row r="28" spans="1:6" x14ac:dyDescent="0.2">
      <c r="A28" t="s">
        <v>43</v>
      </c>
      <c r="B28" t="s">
        <v>37</v>
      </c>
      <c r="C28" t="s">
        <v>16</v>
      </c>
      <c r="D28">
        <v>9200</v>
      </c>
      <c r="E28" t="s">
        <v>38</v>
      </c>
      <c r="F28">
        <v>15</v>
      </c>
    </row>
    <row r="29" spans="1:6" x14ac:dyDescent="0.2">
      <c r="A29" t="s">
        <v>44</v>
      </c>
      <c r="B29" t="s">
        <v>37</v>
      </c>
      <c r="C29" t="s">
        <v>19</v>
      </c>
      <c r="D29">
        <v>8000</v>
      </c>
      <c r="E29" t="s">
        <v>38</v>
      </c>
      <c r="F29">
        <v>25</v>
      </c>
    </row>
    <row r="30" spans="1:6" x14ac:dyDescent="0.2">
      <c r="A30" t="s">
        <v>45</v>
      </c>
      <c r="B30" t="s">
        <v>37</v>
      </c>
      <c r="C30" t="s">
        <v>19</v>
      </c>
      <c r="D30">
        <v>56000</v>
      </c>
      <c r="E30" t="s">
        <v>38</v>
      </c>
      <c r="F30">
        <v>36</v>
      </c>
    </row>
    <row r="31" spans="1:6" x14ac:dyDescent="0.2">
      <c r="A31" t="s">
        <v>46</v>
      </c>
      <c r="B31" t="s">
        <v>37</v>
      </c>
      <c r="C31" t="s">
        <v>22</v>
      </c>
      <c r="D31">
        <v>25000</v>
      </c>
      <c r="E31" t="s">
        <v>38</v>
      </c>
      <c r="F31">
        <v>50</v>
      </c>
    </row>
    <row r="32" spans="1:6" x14ac:dyDescent="0.2">
      <c r="A32" t="s">
        <v>47</v>
      </c>
      <c r="B32" t="s">
        <v>37</v>
      </c>
      <c r="C32" t="s">
        <v>22</v>
      </c>
      <c r="D32">
        <v>320000</v>
      </c>
      <c r="E32" t="s">
        <v>38</v>
      </c>
      <c r="F32">
        <v>95</v>
      </c>
    </row>
    <row r="33" spans="1:6" x14ac:dyDescent="0.2">
      <c r="A33" t="s">
        <v>48</v>
      </c>
      <c r="B33" t="s">
        <v>37</v>
      </c>
      <c r="C33" t="s">
        <v>22</v>
      </c>
      <c r="D33">
        <v>260000</v>
      </c>
      <c r="E33" t="s">
        <v>38</v>
      </c>
      <c r="F33">
        <v>82</v>
      </c>
    </row>
    <row r="34" spans="1:6" x14ac:dyDescent="0.2">
      <c r="A34" t="s">
        <v>49</v>
      </c>
      <c r="B34" t="s">
        <v>50</v>
      </c>
      <c r="C34" t="s">
        <v>8</v>
      </c>
      <c r="D34">
        <v>900</v>
      </c>
    </row>
    <row r="35" spans="1:6" x14ac:dyDescent="0.2">
      <c r="A35" t="s">
        <v>51</v>
      </c>
      <c r="B35" t="s">
        <v>50</v>
      </c>
      <c r="C35" t="s">
        <v>13</v>
      </c>
      <c r="D35">
        <v>2600</v>
      </c>
    </row>
    <row r="36" spans="1:6" x14ac:dyDescent="0.2">
      <c r="A36" t="s">
        <v>52</v>
      </c>
      <c r="B36" t="s">
        <v>50</v>
      </c>
      <c r="C36" t="s">
        <v>16</v>
      </c>
      <c r="D36">
        <v>8800</v>
      </c>
    </row>
    <row r="37" spans="1:6" x14ac:dyDescent="0.2">
      <c r="A37" t="s">
        <v>53</v>
      </c>
      <c r="B37" t="s">
        <v>50</v>
      </c>
      <c r="C37" t="s">
        <v>19</v>
      </c>
      <c r="D37">
        <v>24000</v>
      </c>
    </row>
    <row r="38" spans="1:6" x14ac:dyDescent="0.2">
      <c r="A38" t="s">
        <v>54</v>
      </c>
      <c r="B38" t="s">
        <v>55</v>
      </c>
      <c r="C38" t="s">
        <v>8</v>
      </c>
      <c r="D38">
        <v>1200</v>
      </c>
    </row>
    <row r="39" spans="1:6" x14ac:dyDescent="0.2">
      <c r="A39" t="s">
        <v>56</v>
      </c>
      <c r="B39" t="s">
        <v>55</v>
      </c>
      <c r="C39" t="s">
        <v>13</v>
      </c>
      <c r="D39">
        <v>3100</v>
      </c>
    </row>
    <row r="40" spans="1:6" x14ac:dyDescent="0.2">
      <c r="A40" t="s">
        <v>57</v>
      </c>
      <c r="B40" t="s">
        <v>55</v>
      </c>
      <c r="C40" t="s">
        <v>16</v>
      </c>
      <c r="D40">
        <v>9600</v>
      </c>
    </row>
    <row r="41" spans="1:6" x14ac:dyDescent="0.2">
      <c r="A41" t="s">
        <v>58</v>
      </c>
      <c r="B41" t="s">
        <v>55</v>
      </c>
      <c r="C41" t="s">
        <v>19</v>
      </c>
      <c r="D41">
        <v>27000</v>
      </c>
    </row>
    <row r="42" spans="1:6" x14ac:dyDescent="0.2">
      <c r="A42" t="s">
        <v>59</v>
      </c>
      <c r="B42" t="s">
        <v>60</v>
      </c>
      <c r="C42" t="s">
        <v>8</v>
      </c>
      <c r="D42">
        <v>1800</v>
      </c>
    </row>
    <row r="43" spans="1:6" x14ac:dyDescent="0.2">
      <c r="A43" t="s">
        <v>61</v>
      </c>
      <c r="B43" t="s">
        <v>60</v>
      </c>
      <c r="C43" t="s">
        <v>16</v>
      </c>
      <c r="D43">
        <v>11000</v>
      </c>
    </row>
    <row r="44" spans="1:6" x14ac:dyDescent="0.2">
      <c r="A44" t="s">
        <v>62</v>
      </c>
      <c r="B44" t="s">
        <v>60</v>
      </c>
      <c r="C44" t="s">
        <v>19</v>
      </c>
      <c r="D44">
        <v>28500</v>
      </c>
    </row>
    <row r="45" spans="1:6" x14ac:dyDescent="0.2">
      <c r="A45" t="s">
        <v>63</v>
      </c>
      <c r="B45" t="s">
        <v>60</v>
      </c>
      <c r="C45" t="s">
        <v>22</v>
      </c>
      <c r="D45">
        <v>72000</v>
      </c>
    </row>
    <row r="46" spans="1:6" x14ac:dyDescent="0.2">
      <c r="A46" t="s">
        <v>64</v>
      </c>
      <c r="B46" t="s">
        <v>65</v>
      </c>
      <c r="C46" t="s">
        <v>8</v>
      </c>
      <c r="D46">
        <v>1400</v>
      </c>
    </row>
    <row r="47" spans="1:6" x14ac:dyDescent="0.2">
      <c r="A47" t="s">
        <v>66</v>
      </c>
      <c r="B47" t="s">
        <v>65</v>
      </c>
      <c r="C47" t="s">
        <v>13</v>
      </c>
      <c r="D47">
        <v>4200</v>
      </c>
    </row>
    <row r="48" spans="1:6" x14ac:dyDescent="0.2">
      <c r="A48" t="s">
        <v>67</v>
      </c>
      <c r="B48" t="s">
        <v>65</v>
      </c>
      <c r="C48" t="s">
        <v>16</v>
      </c>
      <c r="D48">
        <v>12500</v>
      </c>
    </row>
    <row r="49" spans="1:6" x14ac:dyDescent="0.2">
      <c r="A49" t="s">
        <v>68</v>
      </c>
      <c r="B49" t="s">
        <v>65</v>
      </c>
      <c r="C49" t="s">
        <v>19</v>
      </c>
      <c r="D49">
        <v>32000</v>
      </c>
    </row>
    <row r="50" spans="1:6" x14ac:dyDescent="0.2">
      <c r="A50" t="s">
        <v>69</v>
      </c>
      <c r="B50" t="s">
        <v>70</v>
      </c>
      <c r="C50" t="s">
        <v>8</v>
      </c>
      <c r="D50">
        <v>25</v>
      </c>
      <c r="E50" t="s">
        <v>71</v>
      </c>
      <c r="F50">
        <v>30</v>
      </c>
    </row>
    <row r="51" spans="1:6" x14ac:dyDescent="0.2">
      <c r="A51" t="s">
        <v>72</v>
      </c>
      <c r="B51" t="s">
        <v>70</v>
      </c>
      <c r="C51" t="s">
        <v>13</v>
      </c>
      <c r="D51">
        <v>80</v>
      </c>
      <c r="E51" t="s">
        <v>71</v>
      </c>
      <c r="F51">
        <v>75</v>
      </c>
    </row>
    <row r="52" spans="1:6" x14ac:dyDescent="0.2">
      <c r="A52" t="s">
        <v>73</v>
      </c>
      <c r="B52" t="s">
        <v>70</v>
      </c>
      <c r="C52" t="s">
        <v>16</v>
      </c>
      <c r="D52">
        <v>300</v>
      </c>
      <c r="E52" t="s">
        <v>71</v>
      </c>
      <c r="F52">
        <v>999</v>
      </c>
    </row>
    <row r="53" spans="1:6" x14ac:dyDescent="0.2">
      <c r="A53" t="s">
        <v>74</v>
      </c>
      <c r="B53" t="s">
        <v>70</v>
      </c>
      <c r="C53" t="s">
        <v>13</v>
      </c>
      <c r="D53">
        <v>100</v>
      </c>
      <c r="E53" t="s">
        <v>75</v>
      </c>
      <c r="F53">
        <v>2</v>
      </c>
    </row>
    <row r="54" spans="1:6" x14ac:dyDescent="0.2">
      <c r="A54" t="s">
        <v>76</v>
      </c>
      <c r="B54" t="s">
        <v>70</v>
      </c>
      <c r="C54" t="s">
        <v>16</v>
      </c>
      <c r="D54">
        <v>400</v>
      </c>
      <c r="E54" t="s">
        <v>77</v>
      </c>
      <c r="F54">
        <v>500</v>
      </c>
    </row>
    <row r="55" spans="1:6" x14ac:dyDescent="0.2">
      <c r="A55" t="s">
        <v>78</v>
      </c>
      <c r="B55" t="s">
        <v>70</v>
      </c>
      <c r="C55" t="s">
        <v>22</v>
      </c>
      <c r="D55">
        <v>50000</v>
      </c>
      <c r="E55" t="s">
        <v>79</v>
      </c>
      <c r="F55">
        <v>1</v>
      </c>
    </row>
    <row r="56" spans="1:6" x14ac:dyDescent="0.2">
      <c r="A56" t="s">
        <v>80</v>
      </c>
      <c r="B56" t="s">
        <v>81</v>
      </c>
      <c r="C56" t="s">
        <v>8</v>
      </c>
      <c r="D56">
        <v>5000</v>
      </c>
      <c r="E56" t="s">
        <v>82</v>
      </c>
      <c r="F56">
        <v>1</v>
      </c>
    </row>
    <row r="57" spans="1:6" x14ac:dyDescent="0.2">
      <c r="A57" t="s">
        <v>83</v>
      </c>
      <c r="B57" t="s">
        <v>81</v>
      </c>
      <c r="C57" t="s">
        <v>13</v>
      </c>
      <c r="D57">
        <v>50000</v>
      </c>
      <c r="E57" t="s">
        <v>82</v>
      </c>
      <c r="F57">
        <v>3</v>
      </c>
    </row>
    <row r="58" spans="1:6" x14ac:dyDescent="0.2">
      <c r="A58" t="s">
        <v>84</v>
      </c>
      <c r="B58" t="s">
        <v>81</v>
      </c>
      <c r="C58" t="s">
        <v>16</v>
      </c>
      <c r="D58">
        <v>500000</v>
      </c>
      <c r="E58" t="s">
        <v>82</v>
      </c>
      <c r="F58">
        <v>5</v>
      </c>
    </row>
    <row r="59" spans="1:6" x14ac:dyDescent="0.2">
      <c r="A59" t="s">
        <v>85</v>
      </c>
      <c r="B59" t="s">
        <v>81</v>
      </c>
      <c r="C59" t="s">
        <v>19</v>
      </c>
      <c r="D59">
        <v>5000000</v>
      </c>
      <c r="E59" t="s">
        <v>82</v>
      </c>
      <c r="F59">
        <v>8</v>
      </c>
    </row>
  </sheetData>
  <pageMargins left="0.7" right="0.7" top="0.75" bottom="0.75" header="0.3" footer="0.3"/>
  <ignoredErrors>
    <ignoredError sqref="A1:F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/>
  </sheetViews>
  <sheetFormatPr baseColWidth="10" defaultRowHeight="16" x14ac:dyDescent="0.2"/>
  <cols>
    <col min="1" max="1" width="30.83203125" customWidth="1"/>
    <col min="2" max="2" width="12.83203125" customWidth="1"/>
    <col min="3" max="3" width="18.83203125" customWidth="1"/>
    <col min="4" max="5" width="8.83203125" customWidth="1"/>
  </cols>
  <sheetData>
    <row r="1" spans="1:5" x14ac:dyDescent="0.2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2">
      <c r="A2" t="s">
        <v>6</v>
      </c>
      <c r="B2">
        <v>100</v>
      </c>
      <c r="E2" t="b">
        <v>1</v>
      </c>
    </row>
    <row r="3" spans="1:5" x14ac:dyDescent="0.2">
      <c r="A3" t="s">
        <v>10</v>
      </c>
      <c r="B3">
        <v>200</v>
      </c>
      <c r="E3" t="b">
        <v>1</v>
      </c>
    </row>
    <row r="4" spans="1:5" x14ac:dyDescent="0.2">
      <c r="A4" t="s">
        <v>11</v>
      </c>
      <c r="B4">
        <v>350</v>
      </c>
      <c r="E4" t="b">
        <v>1</v>
      </c>
    </row>
    <row r="5" spans="1:5" x14ac:dyDescent="0.2">
      <c r="A5" t="s">
        <v>12</v>
      </c>
      <c r="B5">
        <v>500</v>
      </c>
      <c r="D5">
        <v>5</v>
      </c>
      <c r="E5" t="b">
        <v>1</v>
      </c>
    </row>
    <row r="6" spans="1:5" x14ac:dyDescent="0.2">
      <c r="A6" t="s">
        <v>14</v>
      </c>
      <c r="B6">
        <v>1400</v>
      </c>
      <c r="D6">
        <v>5</v>
      </c>
      <c r="E6" t="b">
        <v>1</v>
      </c>
    </row>
    <row r="7" spans="1:5" x14ac:dyDescent="0.2">
      <c r="A7" t="s">
        <v>15</v>
      </c>
      <c r="B7">
        <v>1500</v>
      </c>
      <c r="D7">
        <v>3</v>
      </c>
      <c r="E7" t="b">
        <v>1</v>
      </c>
    </row>
    <row r="8" spans="1:5" x14ac:dyDescent="0.2">
      <c r="A8" t="s">
        <v>17</v>
      </c>
      <c r="B8">
        <v>8500</v>
      </c>
      <c r="D8">
        <v>3</v>
      </c>
      <c r="E8" t="b">
        <v>1</v>
      </c>
    </row>
    <row r="9" spans="1:5" x14ac:dyDescent="0.2">
      <c r="A9" t="s">
        <v>18</v>
      </c>
      <c r="B9">
        <v>5000</v>
      </c>
      <c r="D9">
        <v>1</v>
      </c>
      <c r="E9" t="b">
        <v>1</v>
      </c>
    </row>
    <row r="10" spans="1:5" x14ac:dyDescent="0.2">
      <c r="A10" t="s">
        <v>20</v>
      </c>
      <c r="B10">
        <v>52000</v>
      </c>
      <c r="C10">
        <v>64000</v>
      </c>
      <c r="D10">
        <v>1</v>
      </c>
      <c r="E10" t="b">
        <v>1</v>
      </c>
    </row>
    <row r="11" spans="1:5" x14ac:dyDescent="0.2">
      <c r="A11" t="s">
        <v>23</v>
      </c>
      <c r="B11">
        <v>240000</v>
      </c>
      <c r="C11">
        <v>290000</v>
      </c>
      <c r="D11">
        <v>1</v>
      </c>
      <c r="E11" t="b">
        <v>1</v>
      </c>
    </row>
    <row r="12" spans="1:5" x14ac:dyDescent="0.2">
      <c r="A12" t="s">
        <v>24</v>
      </c>
      <c r="B12">
        <v>80</v>
      </c>
      <c r="E12" t="b">
        <v>1</v>
      </c>
    </row>
    <row r="13" spans="1:5" x14ac:dyDescent="0.2">
      <c r="A13" t="s">
        <v>27</v>
      </c>
      <c r="B13">
        <v>300</v>
      </c>
      <c r="E13" t="b">
        <v>1</v>
      </c>
    </row>
    <row r="14" spans="1:5" x14ac:dyDescent="0.2">
      <c r="A14" t="s">
        <v>28</v>
      </c>
      <c r="B14">
        <v>400</v>
      </c>
      <c r="D14">
        <v>5</v>
      </c>
      <c r="E14" t="b">
        <v>1</v>
      </c>
    </row>
    <row r="15" spans="1:5" x14ac:dyDescent="0.2">
      <c r="A15" t="s">
        <v>29</v>
      </c>
      <c r="B15">
        <v>1250</v>
      </c>
      <c r="D15">
        <v>5</v>
      </c>
      <c r="E15" t="b">
        <v>1</v>
      </c>
    </row>
    <row r="16" spans="1:5" x14ac:dyDescent="0.2">
      <c r="A16" t="s">
        <v>30</v>
      </c>
      <c r="B16">
        <v>1200</v>
      </c>
      <c r="D16">
        <v>3</v>
      </c>
      <c r="E16" t="b">
        <v>1</v>
      </c>
    </row>
    <row r="17" spans="1:5" x14ac:dyDescent="0.2">
      <c r="A17" t="s">
        <v>31</v>
      </c>
      <c r="B17">
        <v>7800</v>
      </c>
      <c r="D17">
        <v>3</v>
      </c>
      <c r="E17" t="b">
        <v>1</v>
      </c>
    </row>
    <row r="18" spans="1:5" x14ac:dyDescent="0.2">
      <c r="A18" t="s">
        <v>33</v>
      </c>
      <c r="B18">
        <v>47000</v>
      </c>
      <c r="C18">
        <v>58000</v>
      </c>
      <c r="D18">
        <v>1</v>
      </c>
      <c r="E18" t="b">
        <v>1</v>
      </c>
    </row>
    <row r="19" spans="1:5" x14ac:dyDescent="0.2">
      <c r="A19" t="s">
        <v>35</v>
      </c>
      <c r="B19">
        <v>210000</v>
      </c>
      <c r="C19">
        <v>260000</v>
      </c>
      <c r="D19">
        <v>1</v>
      </c>
      <c r="E19" t="b">
        <v>1</v>
      </c>
    </row>
    <row r="20" spans="1:5" x14ac:dyDescent="0.2">
      <c r="A20" t="s">
        <v>36</v>
      </c>
      <c r="B20">
        <v>150</v>
      </c>
      <c r="E20" t="b">
        <v>1</v>
      </c>
    </row>
    <row r="21" spans="1:5" x14ac:dyDescent="0.2">
      <c r="A21" t="s">
        <v>39</v>
      </c>
      <c r="B21">
        <v>400</v>
      </c>
      <c r="E21" t="b">
        <v>1</v>
      </c>
    </row>
    <row r="22" spans="1:5" x14ac:dyDescent="0.2">
      <c r="A22" t="s">
        <v>40</v>
      </c>
      <c r="B22">
        <v>600</v>
      </c>
      <c r="D22">
        <v>5</v>
      </c>
      <c r="E22" t="b">
        <v>1</v>
      </c>
    </row>
    <row r="23" spans="1:5" x14ac:dyDescent="0.2">
      <c r="A23" t="s">
        <v>41</v>
      </c>
      <c r="B23">
        <v>1600</v>
      </c>
      <c r="D23">
        <v>5</v>
      </c>
      <c r="E23" t="b">
        <v>1</v>
      </c>
    </row>
    <row r="24" spans="1:5" x14ac:dyDescent="0.2">
      <c r="A24" t="s">
        <v>42</v>
      </c>
      <c r="B24">
        <v>2000</v>
      </c>
      <c r="D24">
        <v>2</v>
      </c>
      <c r="E24" t="b">
        <v>1</v>
      </c>
    </row>
    <row r="25" spans="1:5" x14ac:dyDescent="0.2">
      <c r="A25" t="s">
        <v>43</v>
      </c>
      <c r="B25">
        <v>9200</v>
      </c>
      <c r="D25">
        <v>3</v>
      </c>
      <c r="E25" t="b">
        <v>1</v>
      </c>
    </row>
    <row r="26" spans="1:5" x14ac:dyDescent="0.2">
      <c r="A26" t="s">
        <v>45</v>
      </c>
      <c r="B26">
        <v>56000</v>
      </c>
      <c r="C26">
        <v>62000</v>
      </c>
      <c r="D26">
        <v>1</v>
      </c>
      <c r="E26" t="b">
        <v>1</v>
      </c>
    </row>
    <row r="27" spans="1:5" x14ac:dyDescent="0.2">
      <c r="A27" t="s">
        <v>47</v>
      </c>
      <c r="B27">
        <v>320000</v>
      </c>
      <c r="C27">
        <v>380000</v>
      </c>
      <c r="D27">
        <v>1</v>
      </c>
      <c r="E27" t="b">
        <v>1</v>
      </c>
    </row>
    <row r="28" spans="1:5" x14ac:dyDescent="0.2">
      <c r="A28" t="s">
        <v>48</v>
      </c>
      <c r="B28">
        <v>260000</v>
      </c>
      <c r="C28">
        <v>330000</v>
      </c>
      <c r="D28">
        <v>1</v>
      </c>
      <c r="E28" t="b">
        <v>1</v>
      </c>
    </row>
    <row r="29" spans="1:5" x14ac:dyDescent="0.2">
      <c r="A29" t="s">
        <v>69</v>
      </c>
      <c r="B29">
        <v>25</v>
      </c>
      <c r="E29" t="b">
        <v>1</v>
      </c>
    </row>
    <row r="30" spans="1:5" x14ac:dyDescent="0.2">
      <c r="A30" t="s">
        <v>72</v>
      </c>
      <c r="B30">
        <v>80</v>
      </c>
      <c r="E30" t="b">
        <v>1</v>
      </c>
    </row>
    <row r="31" spans="1:5" x14ac:dyDescent="0.2">
      <c r="A31" t="s">
        <v>73</v>
      </c>
      <c r="B31">
        <v>300</v>
      </c>
      <c r="D31">
        <v>10</v>
      </c>
      <c r="E31" t="b">
        <v>1</v>
      </c>
    </row>
    <row r="32" spans="1:5" x14ac:dyDescent="0.2">
      <c r="A32" t="s">
        <v>74</v>
      </c>
      <c r="B32">
        <v>100</v>
      </c>
      <c r="E32" t="b">
        <v>1</v>
      </c>
    </row>
    <row r="33" spans="1:5" x14ac:dyDescent="0.2">
      <c r="A33" t="s">
        <v>80</v>
      </c>
      <c r="B33">
        <v>5000</v>
      </c>
      <c r="C33">
        <v>5000</v>
      </c>
      <c r="D33">
        <v>10</v>
      </c>
      <c r="E33" t="b">
        <v>1</v>
      </c>
    </row>
    <row r="34" spans="1:5" x14ac:dyDescent="0.2">
      <c r="A34" t="s">
        <v>83</v>
      </c>
      <c r="B34">
        <v>50000</v>
      </c>
      <c r="C34">
        <v>50000</v>
      </c>
      <c r="D34">
        <v>10</v>
      </c>
      <c r="E34" t="b">
        <v>1</v>
      </c>
    </row>
    <row r="35" spans="1:5" x14ac:dyDescent="0.2">
      <c r="A35" t="s">
        <v>84</v>
      </c>
      <c r="B35">
        <v>500000</v>
      </c>
      <c r="C35">
        <v>500000</v>
      </c>
      <c r="D35">
        <v>10</v>
      </c>
      <c r="E35" t="b">
        <v>0</v>
      </c>
    </row>
    <row r="36" spans="1:5" x14ac:dyDescent="0.2">
      <c r="A36" t="s">
        <v>85</v>
      </c>
      <c r="B36">
        <v>5000000</v>
      </c>
      <c r="C36">
        <v>5000000</v>
      </c>
      <c r="D36">
        <v>10</v>
      </c>
      <c r="E36" t="b">
        <v>0</v>
      </c>
    </row>
    <row r="37" spans="1:5" x14ac:dyDescent="0.2">
      <c r="A37" t="s">
        <v>78</v>
      </c>
      <c r="B37">
        <v>50000</v>
      </c>
      <c r="C37">
        <v>50000</v>
      </c>
      <c r="E37" t="b">
        <v>1</v>
      </c>
    </row>
    <row r="38" spans="1:5" x14ac:dyDescent="0.2">
      <c r="A38" t="s">
        <v>49</v>
      </c>
      <c r="B38">
        <v>900</v>
      </c>
      <c r="E38" t="b">
        <v>1</v>
      </c>
    </row>
    <row r="39" spans="1:5" x14ac:dyDescent="0.2">
      <c r="A39" t="s">
        <v>51</v>
      </c>
      <c r="B39">
        <v>2600</v>
      </c>
      <c r="D39">
        <v>6</v>
      </c>
      <c r="E39" t="b">
        <v>1</v>
      </c>
    </row>
    <row r="40" spans="1:5" x14ac:dyDescent="0.2">
      <c r="A40" t="s">
        <v>52</v>
      </c>
      <c r="B40">
        <v>8800</v>
      </c>
      <c r="D40">
        <v>4</v>
      </c>
      <c r="E40" t="b">
        <v>1</v>
      </c>
    </row>
    <row r="41" spans="1:5" x14ac:dyDescent="0.2">
      <c r="A41" t="s">
        <v>53</v>
      </c>
      <c r="B41">
        <v>24000</v>
      </c>
      <c r="C41">
        <v>28000</v>
      </c>
      <c r="D41">
        <v>2</v>
      </c>
      <c r="E41" t="b">
        <v>1</v>
      </c>
    </row>
    <row r="42" spans="1:5" x14ac:dyDescent="0.2">
      <c r="A42" t="s">
        <v>54</v>
      </c>
      <c r="B42">
        <v>1200</v>
      </c>
      <c r="E42" t="b">
        <v>1</v>
      </c>
    </row>
    <row r="43" spans="1:5" x14ac:dyDescent="0.2">
      <c r="A43" t="s">
        <v>56</v>
      </c>
      <c r="B43">
        <v>3100</v>
      </c>
      <c r="D43">
        <v>6</v>
      </c>
      <c r="E43" t="b">
        <v>1</v>
      </c>
    </row>
    <row r="44" spans="1:5" x14ac:dyDescent="0.2">
      <c r="A44" t="s">
        <v>57</v>
      </c>
      <c r="B44">
        <v>9600</v>
      </c>
      <c r="D44">
        <v>4</v>
      </c>
      <c r="E44" t="b">
        <v>1</v>
      </c>
    </row>
    <row r="45" spans="1:5" x14ac:dyDescent="0.2">
      <c r="A45" t="s">
        <v>58</v>
      </c>
      <c r="B45">
        <v>27000</v>
      </c>
      <c r="C45">
        <v>32000</v>
      </c>
      <c r="D45">
        <v>2</v>
      </c>
      <c r="E45" t="b">
        <v>1</v>
      </c>
    </row>
    <row r="46" spans="1:5" x14ac:dyDescent="0.2">
      <c r="A46" t="s">
        <v>59</v>
      </c>
      <c r="B46">
        <v>1800</v>
      </c>
      <c r="E46" t="b">
        <v>1</v>
      </c>
    </row>
    <row r="47" spans="1:5" x14ac:dyDescent="0.2">
      <c r="A47" t="s">
        <v>61</v>
      </c>
      <c r="B47">
        <v>11000</v>
      </c>
      <c r="D47">
        <v>4</v>
      </c>
      <c r="E47" t="b">
        <v>1</v>
      </c>
    </row>
    <row r="48" spans="1:5" x14ac:dyDescent="0.2">
      <c r="A48" t="s">
        <v>62</v>
      </c>
      <c r="B48">
        <v>28500</v>
      </c>
      <c r="C48">
        <v>33000</v>
      </c>
      <c r="D48">
        <v>2</v>
      </c>
      <c r="E48" t="b">
        <v>1</v>
      </c>
    </row>
    <row r="49" spans="1:5" x14ac:dyDescent="0.2">
      <c r="A49" t="s">
        <v>63</v>
      </c>
      <c r="B49">
        <v>72000</v>
      </c>
      <c r="C49">
        <v>79000</v>
      </c>
      <c r="D49">
        <v>1</v>
      </c>
      <c r="E49" t="b">
        <v>1</v>
      </c>
    </row>
    <row r="50" spans="1:5" x14ac:dyDescent="0.2">
      <c r="A50" t="s">
        <v>64</v>
      </c>
      <c r="B50">
        <v>1400</v>
      </c>
      <c r="E50" t="b">
        <v>1</v>
      </c>
    </row>
    <row r="51" spans="1:5" x14ac:dyDescent="0.2">
      <c r="A51" t="s">
        <v>66</v>
      </c>
      <c r="B51">
        <v>4200</v>
      </c>
      <c r="D51">
        <v>6</v>
      </c>
      <c r="E51" t="b">
        <v>1</v>
      </c>
    </row>
    <row r="52" spans="1:5" x14ac:dyDescent="0.2">
      <c r="A52" t="s">
        <v>67</v>
      </c>
      <c r="B52">
        <v>12500</v>
      </c>
      <c r="D52">
        <v>4</v>
      </c>
      <c r="E52" t="b">
        <v>1</v>
      </c>
    </row>
    <row r="53" spans="1:5" x14ac:dyDescent="0.2">
      <c r="A53" t="s">
        <v>68</v>
      </c>
      <c r="B53">
        <v>32000</v>
      </c>
      <c r="C53">
        <v>36000</v>
      </c>
      <c r="D53">
        <v>2</v>
      </c>
      <c r="E53" t="b">
        <v>1</v>
      </c>
    </row>
  </sheetData>
  <pageMargins left="0.7" right="0.7" top="0.75" bottom="0.75" header="0.3" footer="0.3"/>
  <ignoredErrors>
    <ignoredError sqref="A1:E5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baseColWidth="10" defaultRowHeight="16" x14ac:dyDescent="0.2"/>
  <cols>
    <col min="1" max="1" width="25.83203125" customWidth="1"/>
    <col min="2" max="2" width="6.83203125" customWidth="1"/>
    <col min="3" max="6" width="8.83203125" customWidth="1"/>
    <col min="7" max="8" width="12.83203125" customWidth="1"/>
    <col min="9" max="9" width="8.83203125" customWidth="1"/>
    <col min="10" max="10" width="10.83203125" customWidth="1"/>
  </cols>
  <sheetData>
    <row r="1" spans="1:10" x14ac:dyDescent="0.2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">
      <c r="A2" t="s">
        <v>100</v>
      </c>
      <c r="B2">
        <v>1</v>
      </c>
      <c r="C2">
        <v>30</v>
      </c>
      <c r="D2">
        <v>5</v>
      </c>
      <c r="E2">
        <v>2</v>
      </c>
      <c r="F2">
        <v>10</v>
      </c>
      <c r="G2">
        <v>5</v>
      </c>
      <c r="H2">
        <v>15</v>
      </c>
      <c r="I2">
        <v>3</v>
      </c>
      <c r="J2">
        <v>130</v>
      </c>
    </row>
    <row r="3" spans="1:10" x14ac:dyDescent="0.2">
      <c r="A3" t="s">
        <v>101</v>
      </c>
      <c r="B3">
        <v>1</v>
      </c>
      <c r="C3">
        <v>20</v>
      </c>
      <c r="D3">
        <v>8</v>
      </c>
      <c r="E3">
        <v>1</v>
      </c>
      <c r="F3">
        <v>8</v>
      </c>
      <c r="G3">
        <v>3</v>
      </c>
      <c r="H3">
        <v>10</v>
      </c>
      <c r="I3">
        <v>5</v>
      </c>
      <c r="J3">
        <v>140</v>
      </c>
    </row>
    <row r="4" spans="1:10" x14ac:dyDescent="0.2">
      <c r="A4" t="s">
        <v>102</v>
      </c>
      <c r="B4">
        <v>1</v>
      </c>
      <c r="C4">
        <v>50</v>
      </c>
      <c r="D4">
        <v>7</v>
      </c>
      <c r="E4">
        <v>3</v>
      </c>
      <c r="F4">
        <v>15</v>
      </c>
      <c r="G4">
        <v>10</v>
      </c>
      <c r="H4">
        <v>25</v>
      </c>
      <c r="I4">
        <v>4</v>
      </c>
      <c r="J4">
        <v>135</v>
      </c>
    </row>
    <row r="5" spans="1:10" x14ac:dyDescent="0.2">
      <c r="A5" t="s">
        <v>103</v>
      </c>
      <c r="B5">
        <v>2</v>
      </c>
      <c r="C5">
        <v>80</v>
      </c>
      <c r="D5">
        <v>15</v>
      </c>
      <c r="E5">
        <v>8</v>
      </c>
      <c r="F5">
        <v>30</v>
      </c>
      <c r="G5">
        <v>20</v>
      </c>
      <c r="H5">
        <v>50</v>
      </c>
      <c r="I5">
        <v>8</v>
      </c>
      <c r="J5">
        <v>155</v>
      </c>
    </row>
    <row r="6" spans="1:10" x14ac:dyDescent="0.2">
      <c r="A6" t="s">
        <v>104</v>
      </c>
      <c r="B6">
        <v>2</v>
      </c>
      <c r="C6">
        <v>60</v>
      </c>
      <c r="D6">
        <v>20</v>
      </c>
      <c r="E6">
        <v>5</v>
      </c>
      <c r="F6">
        <v>25</v>
      </c>
      <c r="G6">
        <v>15</v>
      </c>
      <c r="H6">
        <v>40</v>
      </c>
      <c r="I6">
        <v>10</v>
      </c>
      <c r="J6">
        <v>160</v>
      </c>
    </row>
    <row r="7" spans="1:10" x14ac:dyDescent="0.2">
      <c r="A7" t="s">
        <v>105</v>
      </c>
      <c r="B7">
        <v>2</v>
      </c>
      <c r="C7">
        <v>70</v>
      </c>
      <c r="D7">
        <v>18</v>
      </c>
      <c r="E7">
        <v>10</v>
      </c>
      <c r="F7">
        <v>35</v>
      </c>
      <c r="G7">
        <v>25</v>
      </c>
      <c r="H7">
        <v>60</v>
      </c>
      <c r="I7">
        <v>7</v>
      </c>
      <c r="J7">
        <v>150</v>
      </c>
    </row>
    <row r="8" spans="1:10" x14ac:dyDescent="0.2">
      <c r="A8" t="s">
        <v>106</v>
      </c>
      <c r="B8">
        <v>3</v>
      </c>
      <c r="C8">
        <v>150</v>
      </c>
      <c r="D8">
        <v>25</v>
      </c>
      <c r="E8">
        <v>20</v>
      </c>
      <c r="F8">
        <v>60</v>
      </c>
      <c r="G8">
        <v>50</v>
      </c>
      <c r="H8">
        <v>120</v>
      </c>
      <c r="I8">
        <v>10</v>
      </c>
      <c r="J8">
        <v>170</v>
      </c>
    </row>
    <row r="9" spans="1:10" x14ac:dyDescent="0.2">
      <c r="A9" t="s">
        <v>107</v>
      </c>
      <c r="B9">
        <v>3</v>
      </c>
      <c r="C9">
        <v>100</v>
      </c>
      <c r="D9">
        <v>35</v>
      </c>
      <c r="E9">
        <v>12</v>
      </c>
      <c r="F9">
        <v>70</v>
      </c>
      <c r="G9">
        <v>60</v>
      </c>
      <c r="H9">
        <v>150</v>
      </c>
      <c r="I9">
        <v>15</v>
      </c>
      <c r="J9">
        <v>180</v>
      </c>
    </row>
    <row r="10" spans="1:10" x14ac:dyDescent="0.2">
      <c r="A10" t="s">
        <v>108</v>
      </c>
      <c r="B10">
        <v>3</v>
      </c>
      <c r="C10">
        <v>200</v>
      </c>
      <c r="D10">
        <v>30</v>
      </c>
      <c r="E10">
        <v>25</v>
      </c>
      <c r="F10">
        <v>80</v>
      </c>
      <c r="G10">
        <v>80</v>
      </c>
      <c r="H10">
        <v>200</v>
      </c>
      <c r="I10">
        <v>8</v>
      </c>
      <c r="J10">
        <v>200</v>
      </c>
    </row>
    <row r="11" spans="1:10" x14ac:dyDescent="0.2">
      <c r="A11" t="s">
        <v>109</v>
      </c>
      <c r="B11">
        <v>4</v>
      </c>
      <c r="C11">
        <v>500</v>
      </c>
      <c r="D11">
        <v>50</v>
      </c>
      <c r="E11">
        <v>30</v>
      </c>
      <c r="F11">
        <v>200</v>
      </c>
      <c r="G11">
        <v>300</v>
      </c>
      <c r="H11">
        <v>800</v>
      </c>
      <c r="I11">
        <v>12</v>
      </c>
      <c r="J11">
        <v>200</v>
      </c>
    </row>
    <row r="12" spans="1:10" x14ac:dyDescent="0.2">
      <c r="A12" t="s">
        <v>110</v>
      </c>
      <c r="B12">
        <v>4</v>
      </c>
      <c r="C12">
        <v>800</v>
      </c>
      <c r="D12">
        <v>60</v>
      </c>
      <c r="E12">
        <v>40</v>
      </c>
      <c r="F12">
        <v>350</v>
      </c>
      <c r="G12">
        <v>500</v>
      </c>
      <c r="H12">
        <v>1500</v>
      </c>
      <c r="I12">
        <v>15</v>
      </c>
      <c r="J12">
        <v>220</v>
      </c>
    </row>
    <row r="13" spans="1:10" x14ac:dyDescent="0.2">
      <c r="A13" t="s">
        <v>111</v>
      </c>
      <c r="B13">
        <v>4</v>
      </c>
      <c r="C13">
        <v>1200</v>
      </c>
      <c r="D13">
        <v>80</v>
      </c>
      <c r="E13">
        <v>50</v>
      </c>
      <c r="F13">
        <v>500</v>
      </c>
      <c r="G13">
        <v>1000</v>
      </c>
      <c r="H13">
        <v>3000</v>
      </c>
      <c r="I13">
        <v>20</v>
      </c>
      <c r="J13">
        <v>250</v>
      </c>
    </row>
    <row r="14" spans="1:10" x14ac:dyDescent="0.2">
      <c r="A14" t="s">
        <v>112</v>
      </c>
      <c r="B14">
        <v>5</v>
      </c>
      <c r="C14">
        <v>1800</v>
      </c>
      <c r="D14">
        <v>110</v>
      </c>
      <c r="E14">
        <v>75</v>
      </c>
      <c r="F14">
        <v>650</v>
      </c>
      <c r="G14">
        <v>3500</v>
      </c>
      <c r="H14">
        <v>6500</v>
      </c>
      <c r="I14">
        <v>16</v>
      </c>
      <c r="J14">
        <v>195</v>
      </c>
    </row>
    <row r="15" spans="1:10" x14ac:dyDescent="0.2">
      <c r="A15" t="s">
        <v>113</v>
      </c>
      <c r="B15">
        <v>5</v>
      </c>
      <c r="C15">
        <v>2200</v>
      </c>
      <c r="D15">
        <v>125</v>
      </c>
      <c r="E15">
        <v>85</v>
      </c>
      <c r="F15">
        <v>720</v>
      </c>
      <c r="G15">
        <v>4000</v>
      </c>
      <c r="H15">
        <v>7500</v>
      </c>
      <c r="I15">
        <v>18</v>
      </c>
      <c r="J15">
        <v>205</v>
      </c>
    </row>
    <row r="16" spans="1:10" x14ac:dyDescent="0.2">
      <c r="A16" t="s">
        <v>114</v>
      </c>
      <c r="B16">
        <v>5</v>
      </c>
      <c r="C16">
        <v>2600</v>
      </c>
      <c r="D16">
        <v>135</v>
      </c>
      <c r="E16">
        <v>95</v>
      </c>
      <c r="F16">
        <v>820</v>
      </c>
      <c r="G16">
        <v>5200</v>
      </c>
      <c r="H16">
        <v>9000</v>
      </c>
      <c r="I16">
        <v>14</v>
      </c>
      <c r="J16">
        <v>190</v>
      </c>
    </row>
    <row r="17" spans="1:10" x14ac:dyDescent="0.2">
      <c r="A17" t="s">
        <v>115</v>
      </c>
      <c r="B17">
        <v>6</v>
      </c>
      <c r="C17">
        <v>3200</v>
      </c>
      <c r="D17">
        <v>155</v>
      </c>
      <c r="E17">
        <v>110</v>
      </c>
      <c r="F17">
        <v>1000</v>
      </c>
      <c r="G17">
        <v>7000</v>
      </c>
      <c r="H17">
        <v>12000</v>
      </c>
      <c r="I17">
        <v>20</v>
      </c>
      <c r="J17">
        <v>215</v>
      </c>
    </row>
    <row r="18" spans="1:10" x14ac:dyDescent="0.2">
      <c r="A18" t="s">
        <v>116</v>
      </c>
      <c r="B18">
        <v>6</v>
      </c>
      <c r="C18">
        <v>3500</v>
      </c>
      <c r="D18">
        <v>168</v>
      </c>
      <c r="E18">
        <v>112</v>
      </c>
      <c r="F18">
        <v>1080</v>
      </c>
      <c r="G18">
        <v>7600</v>
      </c>
      <c r="H18">
        <v>13500</v>
      </c>
      <c r="I18">
        <v>25</v>
      </c>
      <c r="J18">
        <v>230</v>
      </c>
    </row>
    <row r="19" spans="1:10" x14ac:dyDescent="0.2">
      <c r="A19" t="s">
        <v>117</v>
      </c>
      <c r="B19">
        <v>6</v>
      </c>
      <c r="C19">
        <v>3900</v>
      </c>
      <c r="D19">
        <v>175</v>
      </c>
      <c r="E19">
        <v>120</v>
      </c>
      <c r="F19">
        <v>1150</v>
      </c>
      <c r="G19">
        <v>8500</v>
      </c>
      <c r="H19">
        <v>15000</v>
      </c>
      <c r="I19">
        <v>22</v>
      </c>
      <c r="J19">
        <v>225</v>
      </c>
    </row>
    <row r="20" spans="1:10" x14ac:dyDescent="0.2">
      <c r="A20" t="s">
        <v>118</v>
      </c>
      <c r="B20">
        <v>6</v>
      </c>
      <c r="C20">
        <v>4700</v>
      </c>
      <c r="D20">
        <v>195</v>
      </c>
      <c r="E20">
        <v>135</v>
      </c>
      <c r="F20">
        <v>1325</v>
      </c>
      <c r="G20">
        <v>11000</v>
      </c>
      <c r="H20">
        <v>19000</v>
      </c>
      <c r="I20">
        <v>16</v>
      </c>
      <c r="J20">
        <v>210</v>
      </c>
    </row>
    <row r="21" spans="1:10" x14ac:dyDescent="0.2">
      <c r="A21" t="s">
        <v>119</v>
      </c>
      <c r="B21">
        <v>7</v>
      </c>
      <c r="C21">
        <v>6200</v>
      </c>
      <c r="D21">
        <v>230</v>
      </c>
      <c r="E21">
        <v>165</v>
      </c>
      <c r="F21">
        <v>1750</v>
      </c>
      <c r="G21">
        <v>18000</v>
      </c>
      <c r="H21">
        <v>30000</v>
      </c>
      <c r="I21">
        <v>24</v>
      </c>
      <c r="J21">
        <v>235</v>
      </c>
    </row>
    <row r="22" spans="1:10" x14ac:dyDescent="0.2">
      <c r="A22" t="s">
        <v>120</v>
      </c>
      <c r="B22">
        <v>7</v>
      </c>
      <c r="C22">
        <v>7800</v>
      </c>
      <c r="D22">
        <v>255</v>
      </c>
      <c r="E22">
        <v>185</v>
      </c>
      <c r="F22">
        <v>2200</v>
      </c>
      <c r="G22">
        <v>24000</v>
      </c>
      <c r="H22">
        <v>42000</v>
      </c>
      <c r="I22">
        <v>26</v>
      </c>
      <c r="J22">
        <v>245</v>
      </c>
    </row>
    <row r="23" spans="1:10" x14ac:dyDescent="0.2">
      <c r="A23" t="s">
        <v>121</v>
      </c>
      <c r="B23">
        <v>7</v>
      </c>
      <c r="C23">
        <v>9800</v>
      </c>
      <c r="D23">
        <v>285</v>
      </c>
      <c r="E23">
        <v>220</v>
      </c>
      <c r="F23">
        <v>2800</v>
      </c>
      <c r="G23">
        <v>32000</v>
      </c>
      <c r="H23">
        <v>55000</v>
      </c>
      <c r="I23">
        <v>28</v>
      </c>
      <c r="J23">
        <v>260</v>
      </c>
    </row>
  </sheetData>
  <pageMargins left="0.7" right="0.7" top="0.75" bottom="0.75" header="0.3" footer="0.3"/>
  <ignoredErrors>
    <ignoredError sqref="A1:J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workbookViewId="0"/>
  </sheetViews>
  <sheetFormatPr baseColWidth="10" defaultRowHeight="16" x14ac:dyDescent="0.2"/>
  <cols>
    <col min="1" max="1" width="25.83203125" customWidth="1"/>
    <col min="2" max="2" width="30.83203125" customWidth="1"/>
    <col min="3" max="3" width="15.83203125" customWidth="1"/>
  </cols>
  <sheetData>
    <row r="1" spans="1:3" x14ac:dyDescent="0.2">
      <c r="A1" t="s">
        <v>122</v>
      </c>
      <c r="B1" t="s">
        <v>86</v>
      </c>
      <c r="C1" t="s">
        <v>123</v>
      </c>
    </row>
    <row r="2" spans="1:3" x14ac:dyDescent="0.2">
      <c r="A2" t="s">
        <v>100</v>
      </c>
      <c r="B2" t="s">
        <v>69</v>
      </c>
      <c r="C2">
        <v>0.3</v>
      </c>
    </row>
    <row r="3" spans="1:3" x14ac:dyDescent="0.2">
      <c r="A3" t="s">
        <v>100</v>
      </c>
      <c r="B3" t="s">
        <v>80</v>
      </c>
      <c r="C3">
        <v>0.1</v>
      </c>
    </row>
    <row r="4" spans="1:3" x14ac:dyDescent="0.2">
      <c r="A4" t="s">
        <v>101</v>
      </c>
      <c r="B4" t="s">
        <v>69</v>
      </c>
      <c r="C4">
        <v>0.2</v>
      </c>
    </row>
    <row r="5" spans="1:3" x14ac:dyDescent="0.2">
      <c r="A5" t="s">
        <v>102</v>
      </c>
      <c r="B5" t="s">
        <v>6</v>
      </c>
      <c r="C5">
        <v>0.15</v>
      </c>
    </row>
    <row r="6" spans="1:3" x14ac:dyDescent="0.2">
      <c r="A6" t="s">
        <v>102</v>
      </c>
      <c r="B6" t="s">
        <v>24</v>
      </c>
      <c r="C6">
        <v>0.1</v>
      </c>
    </row>
    <row r="7" spans="1:3" x14ac:dyDescent="0.2">
      <c r="A7" t="s">
        <v>103</v>
      </c>
      <c r="B7" t="s">
        <v>12</v>
      </c>
      <c r="C7">
        <v>0.15</v>
      </c>
    </row>
    <row r="8" spans="1:3" x14ac:dyDescent="0.2">
      <c r="A8" t="s">
        <v>103</v>
      </c>
      <c r="B8" t="s">
        <v>40</v>
      </c>
      <c r="C8">
        <v>0.1</v>
      </c>
    </row>
    <row r="9" spans="1:3" x14ac:dyDescent="0.2">
      <c r="A9" t="s">
        <v>104</v>
      </c>
      <c r="B9" t="s">
        <v>28</v>
      </c>
      <c r="C9">
        <v>0.15</v>
      </c>
    </row>
    <row r="10" spans="1:3" x14ac:dyDescent="0.2">
      <c r="A10" t="s">
        <v>105</v>
      </c>
      <c r="B10" t="s">
        <v>83</v>
      </c>
      <c r="C10">
        <v>0.12</v>
      </c>
    </row>
    <row r="11" spans="1:3" x14ac:dyDescent="0.2">
      <c r="A11" t="s">
        <v>105</v>
      </c>
      <c r="B11" t="s">
        <v>72</v>
      </c>
      <c r="C11">
        <v>0.2</v>
      </c>
    </row>
    <row r="12" spans="1:3" x14ac:dyDescent="0.2">
      <c r="A12" t="s">
        <v>106</v>
      </c>
      <c r="B12" t="s">
        <v>30</v>
      </c>
      <c r="C12">
        <v>0.12</v>
      </c>
    </row>
    <row r="13" spans="1:3" x14ac:dyDescent="0.2">
      <c r="A13" t="s">
        <v>107</v>
      </c>
      <c r="B13" t="s">
        <v>15</v>
      </c>
      <c r="C13">
        <v>0.1</v>
      </c>
    </row>
    <row r="14" spans="1:3" x14ac:dyDescent="0.2">
      <c r="A14" t="s">
        <v>107</v>
      </c>
      <c r="B14" t="s">
        <v>42</v>
      </c>
      <c r="C14">
        <v>0.08</v>
      </c>
    </row>
    <row r="15" spans="1:3" x14ac:dyDescent="0.2">
      <c r="A15" t="s">
        <v>108</v>
      </c>
      <c r="B15" t="s">
        <v>84</v>
      </c>
      <c r="C15">
        <v>0.1</v>
      </c>
    </row>
    <row r="16" spans="1:3" x14ac:dyDescent="0.2">
      <c r="A16" t="s">
        <v>108</v>
      </c>
      <c r="B16" t="s">
        <v>73</v>
      </c>
      <c r="C16">
        <v>0.15</v>
      </c>
    </row>
    <row r="17" spans="1:3" x14ac:dyDescent="0.2">
      <c r="A17" t="s">
        <v>109</v>
      </c>
      <c r="B17" t="s">
        <v>18</v>
      </c>
      <c r="C17">
        <v>0.2</v>
      </c>
    </row>
    <row r="18" spans="1:3" x14ac:dyDescent="0.2">
      <c r="A18" t="s">
        <v>109</v>
      </c>
      <c r="B18" t="s">
        <v>44</v>
      </c>
      <c r="C18">
        <v>0.15</v>
      </c>
    </row>
    <row r="19" spans="1:3" x14ac:dyDescent="0.2">
      <c r="A19" t="s">
        <v>110</v>
      </c>
      <c r="B19" t="s">
        <v>32</v>
      </c>
      <c r="C19">
        <v>0.2</v>
      </c>
    </row>
    <row r="20" spans="1:3" x14ac:dyDescent="0.2">
      <c r="A20" t="s">
        <v>110</v>
      </c>
      <c r="B20" t="s">
        <v>85</v>
      </c>
      <c r="C20">
        <v>0.15</v>
      </c>
    </row>
    <row r="21" spans="1:3" x14ac:dyDescent="0.2">
      <c r="A21" t="s">
        <v>111</v>
      </c>
      <c r="B21" t="s">
        <v>21</v>
      </c>
      <c r="C21">
        <v>0.1</v>
      </c>
    </row>
    <row r="22" spans="1:3" x14ac:dyDescent="0.2">
      <c r="A22" t="s">
        <v>111</v>
      </c>
      <c r="B22" t="s">
        <v>34</v>
      </c>
      <c r="C22">
        <v>0.1</v>
      </c>
    </row>
    <row r="23" spans="1:3" x14ac:dyDescent="0.2">
      <c r="A23" t="s">
        <v>111</v>
      </c>
      <c r="B23" t="s">
        <v>46</v>
      </c>
      <c r="C23">
        <v>0.08</v>
      </c>
    </row>
    <row r="24" spans="1:3" x14ac:dyDescent="0.2">
      <c r="A24" t="s">
        <v>112</v>
      </c>
      <c r="B24" t="s">
        <v>39</v>
      </c>
      <c r="C24">
        <v>0.12</v>
      </c>
    </row>
    <row r="25" spans="1:3" x14ac:dyDescent="0.2">
      <c r="A25" t="s">
        <v>112</v>
      </c>
      <c r="B25" t="s">
        <v>41</v>
      </c>
      <c r="C25">
        <v>0.08</v>
      </c>
    </row>
    <row r="26" spans="1:3" x14ac:dyDescent="0.2">
      <c r="A26" t="s">
        <v>113</v>
      </c>
      <c r="B26" t="s">
        <v>11</v>
      </c>
      <c r="C26">
        <v>0.1</v>
      </c>
    </row>
    <row r="27" spans="1:3" x14ac:dyDescent="0.2">
      <c r="A27" t="s">
        <v>113</v>
      </c>
      <c r="B27" t="s">
        <v>27</v>
      </c>
      <c r="C27">
        <v>0.1</v>
      </c>
    </row>
    <row r="28" spans="1:3" x14ac:dyDescent="0.2">
      <c r="A28" t="s">
        <v>114</v>
      </c>
      <c r="B28" t="s">
        <v>14</v>
      </c>
      <c r="C28">
        <v>0.1</v>
      </c>
    </row>
    <row r="29" spans="1:3" x14ac:dyDescent="0.2">
      <c r="A29" t="s">
        <v>114</v>
      </c>
      <c r="B29" t="s">
        <v>29</v>
      </c>
      <c r="C29">
        <v>0.1</v>
      </c>
    </row>
    <row r="30" spans="1:3" x14ac:dyDescent="0.2">
      <c r="A30" t="s">
        <v>115</v>
      </c>
      <c r="B30" t="s">
        <v>31</v>
      </c>
      <c r="C30">
        <v>0.1</v>
      </c>
    </row>
    <row r="31" spans="1:3" x14ac:dyDescent="0.2">
      <c r="A31" t="s">
        <v>115</v>
      </c>
      <c r="B31" t="s">
        <v>43</v>
      </c>
      <c r="C31">
        <v>0.08</v>
      </c>
    </row>
    <row r="32" spans="1:3" x14ac:dyDescent="0.2">
      <c r="A32" t="s">
        <v>116</v>
      </c>
      <c r="B32" t="s">
        <v>43</v>
      </c>
      <c r="C32">
        <v>0.12</v>
      </c>
    </row>
    <row r="33" spans="1:3" x14ac:dyDescent="0.2">
      <c r="A33" t="s">
        <v>116</v>
      </c>
      <c r="B33" t="s">
        <v>45</v>
      </c>
      <c r="C33">
        <v>0.06</v>
      </c>
    </row>
    <row r="34" spans="1:3" x14ac:dyDescent="0.2">
      <c r="A34" t="s">
        <v>117</v>
      </c>
      <c r="B34" t="s">
        <v>17</v>
      </c>
      <c r="C34">
        <v>0.1</v>
      </c>
    </row>
    <row r="35" spans="1:3" x14ac:dyDescent="0.2">
      <c r="A35" t="s">
        <v>117</v>
      </c>
      <c r="B35" t="s">
        <v>45</v>
      </c>
      <c r="C35">
        <v>0.08</v>
      </c>
    </row>
    <row r="36" spans="1:3" x14ac:dyDescent="0.2">
      <c r="A36" t="s">
        <v>118</v>
      </c>
      <c r="B36" t="s">
        <v>20</v>
      </c>
      <c r="C36">
        <v>0.1</v>
      </c>
    </row>
    <row r="37" spans="1:3" x14ac:dyDescent="0.2">
      <c r="A37" t="s">
        <v>118</v>
      </c>
      <c r="B37" t="s">
        <v>33</v>
      </c>
      <c r="C37">
        <v>0.08</v>
      </c>
    </row>
    <row r="38" spans="1:3" x14ac:dyDescent="0.2">
      <c r="A38" t="s">
        <v>119</v>
      </c>
      <c r="B38" t="s">
        <v>23</v>
      </c>
      <c r="C38">
        <v>0.08</v>
      </c>
    </row>
    <row r="39" spans="1:3" x14ac:dyDescent="0.2">
      <c r="A39" t="s">
        <v>119</v>
      </c>
      <c r="B39" t="s">
        <v>48</v>
      </c>
      <c r="C39">
        <v>0.06</v>
      </c>
    </row>
    <row r="40" spans="1:3" x14ac:dyDescent="0.2">
      <c r="A40" t="s">
        <v>120</v>
      </c>
      <c r="B40" t="s">
        <v>35</v>
      </c>
      <c r="C40">
        <v>0.08</v>
      </c>
    </row>
    <row r="41" spans="1:3" x14ac:dyDescent="0.2">
      <c r="A41" t="s">
        <v>120</v>
      </c>
      <c r="B41" t="s">
        <v>47</v>
      </c>
      <c r="C41">
        <v>0.06</v>
      </c>
    </row>
    <row r="42" spans="1:3" x14ac:dyDescent="0.2">
      <c r="A42" t="s">
        <v>121</v>
      </c>
      <c r="B42" t="s">
        <v>23</v>
      </c>
      <c r="C42">
        <v>0.12</v>
      </c>
    </row>
    <row r="43" spans="1:3" x14ac:dyDescent="0.2">
      <c r="A43" t="s">
        <v>121</v>
      </c>
      <c r="B43" t="s">
        <v>35</v>
      </c>
      <c r="C43">
        <v>0.12</v>
      </c>
    </row>
    <row r="44" spans="1:3" x14ac:dyDescent="0.2">
      <c r="A44" t="s">
        <v>121</v>
      </c>
      <c r="B44" t="s">
        <v>47</v>
      </c>
      <c r="C44">
        <v>0.08</v>
      </c>
    </row>
    <row r="45" spans="1:3" x14ac:dyDescent="0.2">
      <c r="A45" t="s">
        <v>121</v>
      </c>
      <c r="B45" t="s">
        <v>48</v>
      </c>
      <c r="C45">
        <v>0.08</v>
      </c>
    </row>
  </sheetData>
  <pageMargins left="0.7" right="0.7" top="0.75" bottom="0.75" header="0.3" footer="0.3"/>
  <ignoredErrors>
    <ignoredError sqref="A1:C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baseColWidth="10" defaultRowHeight="16" x14ac:dyDescent="0.2"/>
  <cols>
    <col min="1" max="1" width="6.83203125" customWidth="1"/>
    <col min="2" max="2" width="28.83203125" customWidth="1"/>
    <col min="3" max="3" width="10.83203125" customWidth="1"/>
    <col min="4" max="4" width="55.83203125" customWidth="1"/>
    <col min="5" max="5" width="22.83203125" customWidth="1"/>
    <col min="6" max="7" width="12.83203125" customWidth="1"/>
  </cols>
  <sheetData>
    <row r="1" spans="1:7" x14ac:dyDescent="0.2">
      <c r="A1" t="s">
        <v>124</v>
      </c>
      <c r="B1" t="s">
        <v>0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2">
      <c r="A2">
        <v>1</v>
      </c>
      <c r="B2" t="s">
        <v>130</v>
      </c>
      <c r="C2">
        <v>1</v>
      </c>
      <c r="D2" t="s">
        <v>131</v>
      </c>
      <c r="F2">
        <v>1</v>
      </c>
      <c r="G2">
        <v>4</v>
      </c>
    </row>
    <row r="3" spans="1:7" x14ac:dyDescent="0.2">
      <c r="A3">
        <v>2</v>
      </c>
      <c r="B3" t="s">
        <v>132</v>
      </c>
      <c r="C3">
        <v>3</v>
      </c>
      <c r="D3" t="s">
        <v>133</v>
      </c>
      <c r="F3">
        <v>1</v>
      </c>
      <c r="G3">
        <v>4</v>
      </c>
    </row>
    <row r="4" spans="1:7" x14ac:dyDescent="0.2">
      <c r="A4">
        <v>3</v>
      </c>
      <c r="B4" t="s">
        <v>134</v>
      </c>
      <c r="C4">
        <v>5</v>
      </c>
      <c r="D4" t="s">
        <v>135</v>
      </c>
      <c r="E4" t="s">
        <v>109</v>
      </c>
      <c r="F4">
        <v>1</v>
      </c>
      <c r="G4">
        <v>4</v>
      </c>
    </row>
    <row r="5" spans="1:7" x14ac:dyDescent="0.2">
      <c r="A5">
        <v>4</v>
      </c>
      <c r="B5" t="s">
        <v>136</v>
      </c>
      <c r="C5">
        <v>8</v>
      </c>
      <c r="D5" t="s">
        <v>137</v>
      </c>
      <c r="F5">
        <v>2</v>
      </c>
      <c r="G5">
        <v>4</v>
      </c>
    </row>
    <row r="6" spans="1:7" x14ac:dyDescent="0.2">
      <c r="A6">
        <v>5</v>
      </c>
      <c r="B6" t="s">
        <v>138</v>
      </c>
      <c r="C6">
        <v>10</v>
      </c>
      <c r="D6" t="s">
        <v>139</v>
      </c>
      <c r="E6" t="s">
        <v>110</v>
      </c>
      <c r="F6">
        <v>2</v>
      </c>
      <c r="G6">
        <v>4</v>
      </c>
    </row>
    <row r="7" spans="1:7" x14ac:dyDescent="0.2">
      <c r="A7">
        <v>6</v>
      </c>
      <c r="B7" t="s">
        <v>140</v>
      </c>
      <c r="C7">
        <v>15</v>
      </c>
      <c r="D7" t="s">
        <v>141</v>
      </c>
      <c r="E7" t="s">
        <v>111</v>
      </c>
      <c r="F7">
        <v>3</v>
      </c>
      <c r="G7">
        <v>4</v>
      </c>
    </row>
    <row r="8" spans="1:7" x14ac:dyDescent="0.2">
      <c r="A8">
        <v>7</v>
      </c>
      <c r="B8" t="s">
        <v>142</v>
      </c>
      <c r="C8">
        <v>20</v>
      </c>
      <c r="D8" t="s">
        <v>143</v>
      </c>
      <c r="F8">
        <v>2</v>
      </c>
      <c r="G8">
        <v>4</v>
      </c>
    </row>
    <row r="9" spans="1:7" x14ac:dyDescent="0.2">
      <c r="A9">
        <v>8</v>
      </c>
      <c r="B9" t="s">
        <v>144</v>
      </c>
      <c r="C9">
        <v>24</v>
      </c>
      <c r="D9" t="s">
        <v>145</v>
      </c>
      <c r="E9" t="s">
        <v>117</v>
      </c>
      <c r="F9">
        <v>2</v>
      </c>
      <c r="G9">
        <v>4</v>
      </c>
    </row>
    <row r="10" spans="1:7" x14ac:dyDescent="0.2">
      <c r="A10">
        <v>9</v>
      </c>
      <c r="B10" t="s">
        <v>146</v>
      </c>
      <c r="C10">
        <v>29</v>
      </c>
      <c r="D10" t="s">
        <v>147</v>
      </c>
      <c r="F10">
        <v>2</v>
      </c>
      <c r="G10">
        <v>4</v>
      </c>
    </row>
    <row r="11" spans="1:7" x14ac:dyDescent="0.2">
      <c r="A11">
        <v>10</v>
      </c>
      <c r="B11" t="s">
        <v>148</v>
      </c>
      <c r="C11">
        <v>34</v>
      </c>
      <c r="D11" t="s">
        <v>149</v>
      </c>
      <c r="E11" t="s">
        <v>119</v>
      </c>
      <c r="F11">
        <v>3</v>
      </c>
      <c r="G11">
        <v>4</v>
      </c>
    </row>
    <row r="12" spans="1:7" x14ac:dyDescent="0.2">
      <c r="A12">
        <v>11</v>
      </c>
      <c r="B12" t="s">
        <v>150</v>
      </c>
      <c r="C12">
        <v>40</v>
      </c>
      <c r="D12" t="s">
        <v>151</v>
      </c>
      <c r="F12">
        <v>3</v>
      </c>
      <c r="G12">
        <v>4</v>
      </c>
    </row>
    <row r="13" spans="1:7" x14ac:dyDescent="0.2">
      <c r="A13">
        <v>12</v>
      </c>
      <c r="B13" t="s">
        <v>152</v>
      </c>
      <c r="C13">
        <v>48</v>
      </c>
      <c r="D13" t="s">
        <v>153</v>
      </c>
      <c r="E13" t="s">
        <v>121</v>
      </c>
      <c r="F13">
        <v>4</v>
      </c>
      <c r="G13">
        <v>4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baseColWidth="10" defaultRowHeight="16" x14ac:dyDescent="0.2"/>
  <cols>
    <col min="1" max="1" width="22.83203125" customWidth="1"/>
    <col min="2" max="2" width="12.83203125" customWidth="1"/>
    <col min="3" max="3" width="14.83203125" customWidth="1"/>
    <col min="4" max="4" width="12.83203125" customWidth="1"/>
    <col min="5" max="5" width="10.83203125" customWidth="1"/>
  </cols>
  <sheetData>
    <row r="1" spans="1:5" x14ac:dyDescent="0.2">
      <c r="A1" t="s">
        <v>0</v>
      </c>
      <c r="B1" t="s">
        <v>2</v>
      </c>
      <c r="C1" t="s">
        <v>154</v>
      </c>
      <c r="D1" t="s">
        <v>155</v>
      </c>
      <c r="E1" t="s">
        <v>156</v>
      </c>
    </row>
    <row r="2" spans="1:5" x14ac:dyDescent="0.2">
      <c r="A2" t="s">
        <v>157</v>
      </c>
      <c r="B2" t="s">
        <v>8</v>
      </c>
      <c r="C2" t="s">
        <v>158</v>
      </c>
      <c r="D2">
        <v>2</v>
      </c>
      <c r="E2">
        <v>500</v>
      </c>
    </row>
    <row r="3" spans="1:5" x14ac:dyDescent="0.2">
      <c r="A3" t="s">
        <v>159</v>
      </c>
      <c r="B3" t="s">
        <v>8</v>
      </c>
      <c r="C3" t="s">
        <v>160</v>
      </c>
      <c r="D3">
        <v>1</v>
      </c>
      <c r="E3">
        <v>800</v>
      </c>
    </row>
    <row r="4" spans="1:5" x14ac:dyDescent="0.2">
      <c r="A4" t="s">
        <v>161</v>
      </c>
      <c r="B4" t="s">
        <v>8</v>
      </c>
      <c r="C4" t="s">
        <v>162</v>
      </c>
      <c r="D4">
        <v>3</v>
      </c>
      <c r="E4">
        <v>600</v>
      </c>
    </row>
    <row r="5" spans="1:5" x14ac:dyDescent="0.2">
      <c r="A5" t="s">
        <v>163</v>
      </c>
      <c r="B5" t="s">
        <v>13</v>
      </c>
      <c r="C5" t="s">
        <v>164</v>
      </c>
      <c r="D5">
        <v>3</v>
      </c>
      <c r="E5">
        <v>2500</v>
      </c>
    </row>
    <row r="6" spans="1:5" x14ac:dyDescent="0.2">
      <c r="A6" t="s">
        <v>165</v>
      </c>
      <c r="B6" t="s">
        <v>13</v>
      </c>
      <c r="C6" t="s">
        <v>166</v>
      </c>
      <c r="D6">
        <v>5</v>
      </c>
      <c r="E6">
        <v>3000</v>
      </c>
    </row>
    <row r="7" spans="1:5" x14ac:dyDescent="0.2">
      <c r="A7" t="s">
        <v>167</v>
      </c>
      <c r="B7" t="s">
        <v>13</v>
      </c>
      <c r="C7" t="s">
        <v>160</v>
      </c>
      <c r="D7">
        <v>3</v>
      </c>
      <c r="E7">
        <v>3500</v>
      </c>
    </row>
    <row r="8" spans="1:5" x14ac:dyDescent="0.2">
      <c r="A8" t="s">
        <v>168</v>
      </c>
      <c r="B8" t="s">
        <v>16</v>
      </c>
      <c r="C8" t="s">
        <v>158</v>
      </c>
      <c r="D8">
        <v>8</v>
      </c>
      <c r="E8">
        <v>10000</v>
      </c>
    </row>
    <row r="9" spans="1:5" x14ac:dyDescent="0.2">
      <c r="A9" t="s">
        <v>169</v>
      </c>
      <c r="B9" t="s">
        <v>16</v>
      </c>
      <c r="C9" t="s">
        <v>166</v>
      </c>
      <c r="D9">
        <v>10</v>
      </c>
      <c r="E9">
        <v>12000</v>
      </c>
    </row>
    <row r="10" spans="1:5" x14ac:dyDescent="0.2">
      <c r="A10" t="s">
        <v>170</v>
      </c>
      <c r="B10" t="s">
        <v>16</v>
      </c>
      <c r="C10" t="s">
        <v>171</v>
      </c>
      <c r="D10">
        <v>50</v>
      </c>
      <c r="E10">
        <v>8000</v>
      </c>
    </row>
    <row r="11" spans="1:5" x14ac:dyDescent="0.2">
      <c r="A11" t="s">
        <v>172</v>
      </c>
      <c r="B11" t="s">
        <v>19</v>
      </c>
      <c r="C11" t="s">
        <v>164</v>
      </c>
      <c r="D11">
        <v>8</v>
      </c>
      <c r="E11">
        <v>35000</v>
      </c>
    </row>
    <row r="12" spans="1:5" x14ac:dyDescent="0.2">
      <c r="A12" t="s">
        <v>173</v>
      </c>
      <c r="B12" t="s">
        <v>19</v>
      </c>
      <c r="C12" t="s">
        <v>162</v>
      </c>
      <c r="D12">
        <v>20</v>
      </c>
      <c r="E12">
        <v>40000</v>
      </c>
    </row>
    <row r="13" spans="1:5" x14ac:dyDescent="0.2">
      <c r="A13" t="s">
        <v>174</v>
      </c>
      <c r="B13" t="s">
        <v>22</v>
      </c>
      <c r="C13" t="s">
        <v>158</v>
      </c>
      <c r="D13">
        <v>20</v>
      </c>
      <c r="E13">
        <v>100000</v>
      </c>
    </row>
    <row r="14" spans="1:5" x14ac:dyDescent="0.2">
      <c r="A14" t="s">
        <v>175</v>
      </c>
      <c r="B14" t="s">
        <v>22</v>
      </c>
      <c r="C14" t="s">
        <v>164</v>
      </c>
      <c r="D14">
        <v>15</v>
      </c>
      <c r="E14">
        <v>150000</v>
      </c>
    </row>
  </sheetData>
  <pageMargins left="0.7" right="0.7" top="0.75" bottom="0.75" header="0.3" footer="0.3"/>
  <ignoredErrors>
    <ignoredError sqref="A1:E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1"/>
  <sheetViews>
    <sheetView workbookViewId="0"/>
  </sheetViews>
  <sheetFormatPr baseColWidth="10" defaultRowHeight="16" x14ac:dyDescent="0.2"/>
  <cols>
    <col min="1" max="1" width="8.83203125" customWidth="1"/>
    <col min="2" max="3" width="12.83203125" customWidth="1"/>
    <col min="4" max="9" width="8.83203125" customWidth="1"/>
    <col min="10" max="10" width="10.83203125" customWidth="1"/>
    <col min="11" max="11" width="18.83203125" customWidth="1"/>
  </cols>
  <sheetData>
    <row r="1" spans="1:11" x14ac:dyDescent="0.2">
      <c r="A1" t="s">
        <v>176</v>
      </c>
      <c r="B1" t="s">
        <v>177</v>
      </c>
      <c r="C1" t="s">
        <v>178</v>
      </c>
      <c r="D1" t="s">
        <v>179</v>
      </c>
      <c r="E1" t="s">
        <v>93</v>
      </c>
      <c r="F1" t="s">
        <v>94</v>
      </c>
      <c r="G1" t="s">
        <v>180</v>
      </c>
      <c r="H1" t="s">
        <v>181</v>
      </c>
      <c r="I1" t="s">
        <v>98</v>
      </c>
      <c r="J1" t="s">
        <v>99</v>
      </c>
      <c r="K1" t="s">
        <v>182</v>
      </c>
    </row>
    <row r="2" spans="1:11" x14ac:dyDescent="0.2">
      <c r="A2">
        <v>1</v>
      </c>
      <c r="B2">
        <v>100</v>
      </c>
      <c r="C2">
        <v>0</v>
      </c>
      <c r="D2">
        <v>100</v>
      </c>
      <c r="E2">
        <v>10</v>
      </c>
      <c r="F2">
        <v>5</v>
      </c>
      <c r="G2">
        <v>1</v>
      </c>
      <c r="H2">
        <v>0</v>
      </c>
      <c r="I2">
        <v>0</v>
      </c>
      <c r="J2">
        <v>150</v>
      </c>
      <c r="K2">
        <v>1</v>
      </c>
    </row>
    <row r="3" spans="1:11" x14ac:dyDescent="0.2">
      <c r="A3">
        <v>2</v>
      </c>
      <c r="B3">
        <v>200</v>
      </c>
      <c r="C3">
        <v>100</v>
      </c>
      <c r="D3">
        <v>111</v>
      </c>
      <c r="E3">
        <v>12</v>
      </c>
      <c r="F3">
        <v>6</v>
      </c>
      <c r="G3">
        <v>1</v>
      </c>
      <c r="H3">
        <v>0</v>
      </c>
      <c r="I3">
        <v>0</v>
      </c>
      <c r="J3">
        <v>150</v>
      </c>
      <c r="K3">
        <v>2</v>
      </c>
    </row>
    <row r="4" spans="1:11" x14ac:dyDescent="0.2">
      <c r="A4">
        <v>3</v>
      </c>
      <c r="B4">
        <v>300</v>
      </c>
      <c r="C4">
        <v>300</v>
      </c>
      <c r="D4">
        <v>123</v>
      </c>
      <c r="E4">
        <v>14</v>
      </c>
      <c r="F4">
        <v>7</v>
      </c>
      <c r="G4">
        <v>2</v>
      </c>
      <c r="H4">
        <v>0</v>
      </c>
      <c r="I4">
        <v>0</v>
      </c>
      <c r="J4">
        <v>150</v>
      </c>
      <c r="K4">
        <v>3</v>
      </c>
    </row>
    <row r="5" spans="1:11" x14ac:dyDescent="0.2">
      <c r="A5">
        <v>4</v>
      </c>
      <c r="B5">
        <v>400</v>
      </c>
      <c r="C5">
        <v>600</v>
      </c>
      <c r="D5">
        <v>137</v>
      </c>
      <c r="E5">
        <v>16</v>
      </c>
      <c r="F5">
        <v>8</v>
      </c>
      <c r="G5">
        <v>2</v>
      </c>
      <c r="H5">
        <v>0</v>
      </c>
      <c r="I5">
        <v>0</v>
      </c>
      <c r="J5">
        <v>150</v>
      </c>
      <c r="K5">
        <v>4</v>
      </c>
    </row>
    <row r="6" spans="1:11" x14ac:dyDescent="0.2">
      <c r="A6">
        <v>5</v>
      </c>
      <c r="B6">
        <v>500</v>
      </c>
      <c r="C6">
        <v>1000</v>
      </c>
      <c r="D6">
        <v>152</v>
      </c>
      <c r="E6">
        <v>19</v>
      </c>
      <c r="F6">
        <v>10</v>
      </c>
      <c r="G6">
        <v>2</v>
      </c>
      <c r="H6">
        <v>0</v>
      </c>
      <c r="I6">
        <v>1</v>
      </c>
      <c r="J6">
        <v>155</v>
      </c>
      <c r="K6">
        <v>5</v>
      </c>
    </row>
    <row r="7" spans="1:11" x14ac:dyDescent="0.2">
      <c r="A7">
        <v>6</v>
      </c>
      <c r="B7">
        <v>600</v>
      </c>
      <c r="C7">
        <v>1500</v>
      </c>
      <c r="D7">
        <v>169</v>
      </c>
      <c r="E7">
        <v>22</v>
      </c>
      <c r="F7">
        <v>12</v>
      </c>
      <c r="G7">
        <v>3</v>
      </c>
      <c r="H7">
        <v>0</v>
      </c>
      <c r="I7">
        <v>1</v>
      </c>
      <c r="J7">
        <v>155</v>
      </c>
      <c r="K7">
        <v>6</v>
      </c>
    </row>
    <row r="8" spans="1:11" x14ac:dyDescent="0.2">
      <c r="A8">
        <v>7</v>
      </c>
      <c r="B8">
        <v>700</v>
      </c>
      <c r="C8">
        <v>2100</v>
      </c>
      <c r="D8">
        <v>187</v>
      </c>
      <c r="E8">
        <v>25</v>
      </c>
      <c r="F8">
        <v>14</v>
      </c>
      <c r="G8">
        <v>3</v>
      </c>
      <c r="H8">
        <v>0</v>
      </c>
      <c r="I8">
        <v>1</v>
      </c>
      <c r="J8">
        <v>155</v>
      </c>
      <c r="K8">
        <v>7</v>
      </c>
    </row>
    <row r="9" spans="1:11" x14ac:dyDescent="0.2">
      <c r="A9">
        <v>8</v>
      </c>
      <c r="B9">
        <v>800</v>
      </c>
      <c r="C9">
        <v>2800</v>
      </c>
      <c r="D9">
        <v>207</v>
      </c>
      <c r="E9">
        <v>28</v>
      </c>
      <c r="F9">
        <v>16</v>
      </c>
      <c r="G9">
        <v>3</v>
      </c>
      <c r="H9">
        <v>0</v>
      </c>
      <c r="I9">
        <v>1</v>
      </c>
      <c r="J9">
        <v>155</v>
      </c>
      <c r="K9">
        <v>8</v>
      </c>
    </row>
    <row r="10" spans="1:11" x14ac:dyDescent="0.2">
      <c r="A10">
        <v>9</v>
      </c>
      <c r="B10">
        <v>900</v>
      </c>
      <c r="C10">
        <v>3600</v>
      </c>
      <c r="D10">
        <v>228</v>
      </c>
      <c r="E10">
        <v>31</v>
      </c>
      <c r="F10">
        <v>18</v>
      </c>
      <c r="G10">
        <v>4</v>
      </c>
      <c r="H10">
        <v>0</v>
      </c>
      <c r="I10">
        <v>1</v>
      </c>
      <c r="J10">
        <v>155</v>
      </c>
      <c r="K10">
        <v>9</v>
      </c>
    </row>
    <row r="11" spans="1:11" x14ac:dyDescent="0.2">
      <c r="A11">
        <v>10</v>
      </c>
      <c r="B11">
        <v>1000</v>
      </c>
      <c r="C11">
        <v>4500</v>
      </c>
      <c r="D11">
        <v>251</v>
      </c>
      <c r="E11">
        <v>35</v>
      </c>
      <c r="F11">
        <v>21</v>
      </c>
      <c r="G11">
        <v>4</v>
      </c>
      <c r="H11">
        <v>1</v>
      </c>
      <c r="I11">
        <v>2</v>
      </c>
      <c r="J11">
        <v>160</v>
      </c>
      <c r="K11">
        <v>10</v>
      </c>
    </row>
    <row r="12" spans="1:11" x14ac:dyDescent="0.2">
      <c r="A12">
        <v>11</v>
      </c>
      <c r="B12">
        <v>1100</v>
      </c>
      <c r="C12">
        <v>5500</v>
      </c>
      <c r="D12">
        <v>275</v>
      </c>
      <c r="E12">
        <v>39</v>
      </c>
      <c r="F12">
        <v>24</v>
      </c>
      <c r="G12">
        <v>4</v>
      </c>
      <c r="H12">
        <v>1</v>
      </c>
      <c r="I12">
        <v>2</v>
      </c>
      <c r="J12">
        <v>160</v>
      </c>
      <c r="K12">
        <v>11</v>
      </c>
    </row>
    <row r="13" spans="1:11" x14ac:dyDescent="0.2">
      <c r="A13">
        <v>12</v>
      </c>
      <c r="B13">
        <v>1200</v>
      </c>
      <c r="C13">
        <v>6600</v>
      </c>
      <c r="D13">
        <v>301</v>
      </c>
      <c r="E13">
        <v>43</v>
      </c>
      <c r="F13">
        <v>27</v>
      </c>
      <c r="G13">
        <v>5</v>
      </c>
      <c r="H13">
        <v>1</v>
      </c>
      <c r="I13">
        <v>2</v>
      </c>
      <c r="J13">
        <v>160</v>
      </c>
      <c r="K13">
        <v>12</v>
      </c>
    </row>
    <row r="14" spans="1:11" x14ac:dyDescent="0.2">
      <c r="A14">
        <v>13</v>
      </c>
      <c r="B14">
        <v>1300</v>
      </c>
      <c r="C14">
        <v>7800</v>
      </c>
      <c r="D14">
        <v>328</v>
      </c>
      <c r="E14">
        <v>47</v>
      </c>
      <c r="F14">
        <v>30</v>
      </c>
      <c r="G14">
        <v>5</v>
      </c>
      <c r="H14">
        <v>1</v>
      </c>
      <c r="I14">
        <v>2</v>
      </c>
      <c r="J14">
        <v>160</v>
      </c>
      <c r="K14">
        <v>13</v>
      </c>
    </row>
    <row r="15" spans="1:11" x14ac:dyDescent="0.2">
      <c r="A15">
        <v>14</v>
      </c>
      <c r="B15">
        <v>1400</v>
      </c>
      <c r="C15">
        <v>9100</v>
      </c>
      <c r="D15">
        <v>357</v>
      </c>
      <c r="E15">
        <v>51</v>
      </c>
      <c r="F15">
        <v>33</v>
      </c>
      <c r="G15">
        <v>5</v>
      </c>
      <c r="H15">
        <v>1</v>
      </c>
      <c r="I15">
        <v>2</v>
      </c>
      <c r="J15">
        <v>160</v>
      </c>
      <c r="K15">
        <v>14</v>
      </c>
    </row>
    <row r="16" spans="1:11" x14ac:dyDescent="0.2">
      <c r="A16">
        <v>15</v>
      </c>
      <c r="B16">
        <v>1500</v>
      </c>
      <c r="C16">
        <v>10500</v>
      </c>
      <c r="D16">
        <v>387</v>
      </c>
      <c r="E16">
        <v>56</v>
      </c>
      <c r="F16">
        <v>37</v>
      </c>
      <c r="G16">
        <v>6</v>
      </c>
      <c r="H16">
        <v>1</v>
      </c>
      <c r="I16">
        <v>3</v>
      </c>
      <c r="J16">
        <v>165</v>
      </c>
      <c r="K16">
        <v>15</v>
      </c>
    </row>
    <row r="17" spans="1:11" x14ac:dyDescent="0.2">
      <c r="A17">
        <v>16</v>
      </c>
      <c r="B17">
        <v>1600</v>
      </c>
      <c r="C17">
        <v>12000</v>
      </c>
      <c r="D17">
        <v>419</v>
      </c>
      <c r="E17">
        <v>61</v>
      </c>
      <c r="F17">
        <v>41</v>
      </c>
      <c r="G17">
        <v>6</v>
      </c>
      <c r="H17">
        <v>1</v>
      </c>
      <c r="I17">
        <v>3</v>
      </c>
      <c r="J17">
        <v>165</v>
      </c>
      <c r="K17">
        <v>16</v>
      </c>
    </row>
    <row r="18" spans="1:11" x14ac:dyDescent="0.2">
      <c r="A18">
        <v>17</v>
      </c>
      <c r="B18">
        <v>1700</v>
      </c>
      <c r="C18">
        <v>13600</v>
      </c>
      <c r="D18">
        <v>452</v>
      </c>
      <c r="E18">
        <v>66</v>
      </c>
      <c r="F18">
        <v>45</v>
      </c>
      <c r="G18">
        <v>6</v>
      </c>
      <c r="H18">
        <v>1</v>
      </c>
      <c r="I18">
        <v>3</v>
      </c>
      <c r="J18">
        <v>165</v>
      </c>
      <c r="K18">
        <v>17</v>
      </c>
    </row>
    <row r="19" spans="1:11" x14ac:dyDescent="0.2">
      <c r="A19">
        <v>18</v>
      </c>
      <c r="B19">
        <v>1800</v>
      </c>
      <c r="C19">
        <v>15300</v>
      </c>
      <c r="D19">
        <v>487</v>
      </c>
      <c r="E19">
        <v>71</v>
      </c>
      <c r="F19">
        <v>49</v>
      </c>
      <c r="G19">
        <v>7</v>
      </c>
      <c r="H19">
        <v>1</v>
      </c>
      <c r="I19">
        <v>3</v>
      </c>
      <c r="J19">
        <v>165</v>
      </c>
      <c r="K19">
        <v>18</v>
      </c>
    </row>
    <row r="20" spans="1:11" x14ac:dyDescent="0.2">
      <c r="A20">
        <v>19</v>
      </c>
      <c r="B20">
        <v>1900</v>
      </c>
      <c r="C20">
        <v>17100</v>
      </c>
      <c r="D20">
        <v>523</v>
      </c>
      <c r="E20">
        <v>76</v>
      </c>
      <c r="F20">
        <v>53</v>
      </c>
      <c r="G20">
        <v>7</v>
      </c>
      <c r="H20">
        <v>1</v>
      </c>
      <c r="I20">
        <v>3</v>
      </c>
      <c r="J20">
        <v>165</v>
      </c>
      <c r="K20">
        <v>19</v>
      </c>
    </row>
    <row r="21" spans="1:11" x14ac:dyDescent="0.2">
      <c r="A21">
        <v>20</v>
      </c>
      <c r="B21">
        <v>2000</v>
      </c>
      <c r="C21">
        <v>19000</v>
      </c>
      <c r="D21">
        <v>561</v>
      </c>
      <c r="E21">
        <v>82</v>
      </c>
      <c r="F21">
        <v>58</v>
      </c>
      <c r="G21">
        <v>7</v>
      </c>
      <c r="H21">
        <v>2</v>
      </c>
      <c r="I21">
        <v>4</v>
      </c>
      <c r="J21">
        <v>170</v>
      </c>
      <c r="K21">
        <v>20</v>
      </c>
    </row>
    <row r="22" spans="1:11" x14ac:dyDescent="0.2">
      <c r="A22">
        <v>21</v>
      </c>
      <c r="B22">
        <v>2100</v>
      </c>
      <c r="C22">
        <v>21000</v>
      </c>
      <c r="D22">
        <v>600</v>
      </c>
      <c r="E22">
        <v>88</v>
      </c>
      <c r="F22">
        <v>63</v>
      </c>
      <c r="G22">
        <v>8</v>
      </c>
      <c r="H22">
        <v>2</v>
      </c>
      <c r="I22">
        <v>4</v>
      </c>
      <c r="J22">
        <v>170</v>
      </c>
      <c r="K22">
        <v>21</v>
      </c>
    </row>
    <row r="23" spans="1:11" x14ac:dyDescent="0.2">
      <c r="A23">
        <v>22</v>
      </c>
      <c r="B23">
        <v>2200</v>
      </c>
      <c r="C23">
        <v>23100</v>
      </c>
      <c r="D23">
        <v>641</v>
      </c>
      <c r="E23">
        <v>94</v>
      </c>
      <c r="F23">
        <v>68</v>
      </c>
      <c r="G23">
        <v>8</v>
      </c>
      <c r="H23">
        <v>2</v>
      </c>
      <c r="I23">
        <v>4</v>
      </c>
      <c r="J23">
        <v>170</v>
      </c>
      <c r="K23">
        <v>22</v>
      </c>
    </row>
    <row r="24" spans="1:11" x14ac:dyDescent="0.2">
      <c r="A24">
        <v>23</v>
      </c>
      <c r="B24">
        <v>2300</v>
      </c>
      <c r="C24">
        <v>25300</v>
      </c>
      <c r="D24">
        <v>683</v>
      </c>
      <c r="E24">
        <v>100</v>
      </c>
      <c r="F24">
        <v>73</v>
      </c>
      <c r="G24">
        <v>8</v>
      </c>
      <c r="H24">
        <v>2</v>
      </c>
      <c r="I24">
        <v>4</v>
      </c>
      <c r="J24">
        <v>170</v>
      </c>
      <c r="K24">
        <v>23</v>
      </c>
    </row>
    <row r="25" spans="1:11" x14ac:dyDescent="0.2">
      <c r="A25">
        <v>24</v>
      </c>
      <c r="B25">
        <v>2400</v>
      </c>
      <c r="C25">
        <v>27600</v>
      </c>
      <c r="D25">
        <v>727</v>
      </c>
      <c r="E25">
        <v>106</v>
      </c>
      <c r="F25">
        <v>78</v>
      </c>
      <c r="G25">
        <v>9</v>
      </c>
      <c r="H25">
        <v>2</v>
      </c>
      <c r="I25">
        <v>4</v>
      </c>
      <c r="J25">
        <v>170</v>
      </c>
      <c r="K25">
        <v>24</v>
      </c>
    </row>
    <row r="26" spans="1:11" x14ac:dyDescent="0.2">
      <c r="A26">
        <v>25</v>
      </c>
      <c r="B26">
        <v>2500</v>
      </c>
      <c r="C26">
        <v>30000</v>
      </c>
      <c r="D26">
        <v>772</v>
      </c>
      <c r="E26">
        <v>113</v>
      </c>
      <c r="F26">
        <v>84</v>
      </c>
      <c r="G26">
        <v>9</v>
      </c>
      <c r="H26">
        <v>2</v>
      </c>
      <c r="I26">
        <v>5</v>
      </c>
      <c r="J26">
        <v>175</v>
      </c>
      <c r="K26">
        <v>25</v>
      </c>
    </row>
    <row r="27" spans="1:11" x14ac:dyDescent="0.2">
      <c r="A27">
        <v>26</v>
      </c>
      <c r="B27">
        <v>2600</v>
      </c>
      <c r="C27">
        <v>32500</v>
      </c>
      <c r="D27">
        <v>819</v>
      </c>
      <c r="E27">
        <v>120</v>
      </c>
      <c r="F27">
        <v>90</v>
      </c>
      <c r="G27">
        <v>9</v>
      </c>
      <c r="H27">
        <v>2</v>
      </c>
      <c r="I27">
        <v>5</v>
      </c>
      <c r="J27">
        <v>175</v>
      </c>
      <c r="K27">
        <v>26</v>
      </c>
    </row>
    <row r="28" spans="1:11" x14ac:dyDescent="0.2">
      <c r="A28">
        <v>27</v>
      </c>
      <c r="B28">
        <v>2700</v>
      </c>
      <c r="C28">
        <v>35100</v>
      </c>
      <c r="D28">
        <v>867</v>
      </c>
      <c r="E28">
        <v>127</v>
      </c>
      <c r="F28">
        <v>96</v>
      </c>
      <c r="G28">
        <v>10</v>
      </c>
      <c r="H28">
        <v>2</v>
      </c>
      <c r="I28">
        <v>5</v>
      </c>
      <c r="J28">
        <v>175</v>
      </c>
      <c r="K28">
        <v>27</v>
      </c>
    </row>
    <row r="29" spans="1:11" x14ac:dyDescent="0.2">
      <c r="A29">
        <v>28</v>
      </c>
      <c r="B29">
        <v>2800</v>
      </c>
      <c r="C29">
        <v>37800</v>
      </c>
      <c r="D29">
        <v>917</v>
      </c>
      <c r="E29">
        <v>134</v>
      </c>
      <c r="F29">
        <v>102</v>
      </c>
      <c r="G29">
        <v>10</v>
      </c>
      <c r="H29">
        <v>2</v>
      </c>
      <c r="I29">
        <v>5</v>
      </c>
      <c r="J29">
        <v>175</v>
      </c>
      <c r="K29">
        <v>28</v>
      </c>
    </row>
    <row r="30" spans="1:11" x14ac:dyDescent="0.2">
      <c r="A30">
        <v>29</v>
      </c>
      <c r="B30">
        <v>2900</v>
      </c>
      <c r="C30">
        <v>40600</v>
      </c>
      <c r="D30">
        <v>968</v>
      </c>
      <c r="E30">
        <v>141</v>
      </c>
      <c r="F30">
        <v>108</v>
      </c>
      <c r="G30">
        <v>10</v>
      </c>
      <c r="H30">
        <v>2</v>
      </c>
      <c r="I30">
        <v>5</v>
      </c>
      <c r="J30">
        <v>175</v>
      </c>
      <c r="K30">
        <v>29</v>
      </c>
    </row>
    <row r="31" spans="1:11" x14ac:dyDescent="0.2">
      <c r="A31">
        <v>30</v>
      </c>
      <c r="B31">
        <v>3000</v>
      </c>
      <c r="C31">
        <v>43500</v>
      </c>
      <c r="D31">
        <v>1021</v>
      </c>
      <c r="E31">
        <v>149</v>
      </c>
      <c r="F31">
        <v>115</v>
      </c>
      <c r="G31">
        <v>11</v>
      </c>
      <c r="H31">
        <v>3</v>
      </c>
      <c r="I31">
        <v>6</v>
      </c>
      <c r="J31">
        <v>180</v>
      </c>
      <c r="K31">
        <v>30</v>
      </c>
    </row>
    <row r="32" spans="1:11" x14ac:dyDescent="0.2">
      <c r="A32">
        <v>31</v>
      </c>
      <c r="B32">
        <v>3100</v>
      </c>
      <c r="C32">
        <v>46500</v>
      </c>
      <c r="D32">
        <v>1075</v>
      </c>
      <c r="E32">
        <v>157</v>
      </c>
      <c r="F32">
        <v>122</v>
      </c>
      <c r="G32">
        <v>11</v>
      </c>
      <c r="H32">
        <v>3</v>
      </c>
      <c r="I32">
        <v>6</v>
      </c>
      <c r="J32">
        <v>180</v>
      </c>
      <c r="K32">
        <v>31</v>
      </c>
    </row>
    <row r="33" spans="1:11" x14ac:dyDescent="0.2">
      <c r="A33">
        <v>32</v>
      </c>
      <c r="B33">
        <v>3200</v>
      </c>
      <c r="C33">
        <v>49600</v>
      </c>
      <c r="D33">
        <v>1131</v>
      </c>
      <c r="E33">
        <v>165</v>
      </c>
      <c r="F33">
        <v>129</v>
      </c>
      <c r="G33">
        <v>11</v>
      </c>
      <c r="H33">
        <v>3</v>
      </c>
      <c r="I33">
        <v>6</v>
      </c>
      <c r="J33">
        <v>180</v>
      </c>
      <c r="K33">
        <v>32</v>
      </c>
    </row>
    <row r="34" spans="1:11" x14ac:dyDescent="0.2">
      <c r="A34">
        <v>33</v>
      </c>
      <c r="B34">
        <v>3300</v>
      </c>
      <c r="C34">
        <v>52800</v>
      </c>
      <c r="D34">
        <v>1188</v>
      </c>
      <c r="E34">
        <v>173</v>
      </c>
      <c r="F34">
        <v>136</v>
      </c>
      <c r="G34">
        <v>12</v>
      </c>
      <c r="H34">
        <v>3</v>
      </c>
      <c r="I34">
        <v>6</v>
      </c>
      <c r="J34">
        <v>180</v>
      </c>
      <c r="K34">
        <v>33</v>
      </c>
    </row>
    <row r="35" spans="1:11" x14ac:dyDescent="0.2">
      <c r="A35">
        <v>34</v>
      </c>
      <c r="B35">
        <v>3400</v>
      </c>
      <c r="C35">
        <v>56100</v>
      </c>
      <c r="D35">
        <v>1247</v>
      </c>
      <c r="E35">
        <v>181</v>
      </c>
      <c r="F35">
        <v>143</v>
      </c>
      <c r="G35">
        <v>12</v>
      </c>
      <c r="H35">
        <v>3</v>
      </c>
      <c r="I35">
        <v>6</v>
      </c>
      <c r="J35">
        <v>180</v>
      </c>
      <c r="K35">
        <v>34</v>
      </c>
    </row>
    <row r="36" spans="1:11" x14ac:dyDescent="0.2">
      <c r="A36">
        <v>35</v>
      </c>
      <c r="B36">
        <v>3500</v>
      </c>
      <c r="C36">
        <v>59500</v>
      </c>
      <c r="D36">
        <v>1307</v>
      </c>
      <c r="E36">
        <v>190</v>
      </c>
      <c r="F36">
        <v>151</v>
      </c>
      <c r="G36">
        <v>12</v>
      </c>
      <c r="H36">
        <v>3</v>
      </c>
      <c r="I36">
        <v>7</v>
      </c>
      <c r="J36">
        <v>185</v>
      </c>
      <c r="K36">
        <v>35</v>
      </c>
    </row>
    <row r="37" spans="1:11" x14ac:dyDescent="0.2">
      <c r="A37">
        <v>36</v>
      </c>
      <c r="B37">
        <v>3600</v>
      </c>
      <c r="C37">
        <v>63000</v>
      </c>
      <c r="D37">
        <v>1369</v>
      </c>
      <c r="E37">
        <v>199</v>
      </c>
      <c r="F37">
        <v>159</v>
      </c>
      <c r="G37">
        <v>13</v>
      </c>
      <c r="H37">
        <v>3</v>
      </c>
      <c r="I37">
        <v>7</v>
      </c>
      <c r="J37">
        <v>185</v>
      </c>
      <c r="K37">
        <v>36</v>
      </c>
    </row>
    <row r="38" spans="1:11" x14ac:dyDescent="0.2">
      <c r="A38">
        <v>37</v>
      </c>
      <c r="B38">
        <v>3700</v>
      </c>
      <c r="C38">
        <v>66600</v>
      </c>
      <c r="D38">
        <v>1432</v>
      </c>
      <c r="E38">
        <v>208</v>
      </c>
      <c r="F38">
        <v>167</v>
      </c>
      <c r="G38">
        <v>13</v>
      </c>
      <c r="H38">
        <v>3</v>
      </c>
      <c r="I38">
        <v>7</v>
      </c>
      <c r="J38">
        <v>185</v>
      </c>
      <c r="K38">
        <v>37</v>
      </c>
    </row>
    <row r="39" spans="1:11" x14ac:dyDescent="0.2">
      <c r="A39">
        <v>38</v>
      </c>
      <c r="B39">
        <v>3800</v>
      </c>
      <c r="C39">
        <v>70300</v>
      </c>
      <c r="D39">
        <v>1497</v>
      </c>
      <c r="E39">
        <v>217</v>
      </c>
      <c r="F39">
        <v>175</v>
      </c>
      <c r="G39">
        <v>13</v>
      </c>
      <c r="H39">
        <v>3</v>
      </c>
      <c r="I39">
        <v>7</v>
      </c>
      <c r="J39">
        <v>185</v>
      </c>
      <c r="K39">
        <v>38</v>
      </c>
    </row>
    <row r="40" spans="1:11" x14ac:dyDescent="0.2">
      <c r="A40">
        <v>39</v>
      </c>
      <c r="B40">
        <v>3900</v>
      </c>
      <c r="C40">
        <v>74100</v>
      </c>
      <c r="D40">
        <v>1563</v>
      </c>
      <c r="E40">
        <v>226</v>
      </c>
      <c r="F40">
        <v>183</v>
      </c>
      <c r="G40">
        <v>14</v>
      </c>
      <c r="H40">
        <v>3</v>
      </c>
      <c r="I40">
        <v>7</v>
      </c>
      <c r="J40">
        <v>185</v>
      </c>
      <c r="K40">
        <v>39</v>
      </c>
    </row>
    <row r="41" spans="1:11" x14ac:dyDescent="0.2">
      <c r="A41">
        <v>40</v>
      </c>
      <c r="B41">
        <v>4000</v>
      </c>
      <c r="C41">
        <v>78000</v>
      </c>
      <c r="D41">
        <v>1631</v>
      </c>
      <c r="E41">
        <v>236</v>
      </c>
      <c r="F41">
        <v>192</v>
      </c>
      <c r="G41">
        <v>14</v>
      </c>
      <c r="H41">
        <v>4</v>
      </c>
      <c r="I41">
        <v>8</v>
      </c>
      <c r="J41">
        <v>190</v>
      </c>
      <c r="K41">
        <v>40</v>
      </c>
    </row>
    <row r="42" spans="1:11" x14ac:dyDescent="0.2">
      <c r="A42">
        <v>41</v>
      </c>
      <c r="B42">
        <v>4100</v>
      </c>
      <c r="C42">
        <v>82000</v>
      </c>
      <c r="D42">
        <v>1700</v>
      </c>
      <c r="E42">
        <v>246</v>
      </c>
      <c r="F42">
        <v>201</v>
      </c>
      <c r="G42">
        <v>14</v>
      </c>
      <c r="H42">
        <v>4</v>
      </c>
      <c r="I42">
        <v>8</v>
      </c>
      <c r="J42">
        <v>190</v>
      </c>
      <c r="K42">
        <v>41</v>
      </c>
    </row>
    <row r="43" spans="1:11" x14ac:dyDescent="0.2">
      <c r="A43">
        <v>42</v>
      </c>
      <c r="B43">
        <v>4200</v>
      </c>
      <c r="C43">
        <v>86100</v>
      </c>
      <c r="D43">
        <v>1771</v>
      </c>
      <c r="E43">
        <v>256</v>
      </c>
      <c r="F43">
        <v>210</v>
      </c>
      <c r="G43">
        <v>15</v>
      </c>
      <c r="H43">
        <v>4</v>
      </c>
      <c r="I43">
        <v>8</v>
      </c>
      <c r="J43">
        <v>190</v>
      </c>
      <c r="K43">
        <v>42</v>
      </c>
    </row>
    <row r="44" spans="1:11" x14ac:dyDescent="0.2">
      <c r="A44">
        <v>43</v>
      </c>
      <c r="B44">
        <v>4300</v>
      </c>
      <c r="C44">
        <v>90300</v>
      </c>
      <c r="D44">
        <v>1843</v>
      </c>
      <c r="E44">
        <v>266</v>
      </c>
      <c r="F44">
        <v>219</v>
      </c>
      <c r="G44">
        <v>15</v>
      </c>
      <c r="H44">
        <v>4</v>
      </c>
      <c r="I44">
        <v>8</v>
      </c>
      <c r="J44">
        <v>190</v>
      </c>
      <c r="K44">
        <v>43</v>
      </c>
    </row>
    <row r="45" spans="1:11" x14ac:dyDescent="0.2">
      <c r="A45">
        <v>44</v>
      </c>
      <c r="B45">
        <v>4400</v>
      </c>
      <c r="C45">
        <v>94600</v>
      </c>
      <c r="D45">
        <v>1917</v>
      </c>
      <c r="E45">
        <v>276</v>
      </c>
      <c r="F45">
        <v>228</v>
      </c>
      <c r="G45">
        <v>15</v>
      </c>
      <c r="H45">
        <v>4</v>
      </c>
      <c r="I45">
        <v>8</v>
      </c>
      <c r="J45">
        <v>190</v>
      </c>
      <c r="K45">
        <v>44</v>
      </c>
    </row>
    <row r="46" spans="1:11" x14ac:dyDescent="0.2">
      <c r="A46">
        <v>45</v>
      </c>
      <c r="B46">
        <v>4500</v>
      </c>
      <c r="C46">
        <v>99000</v>
      </c>
      <c r="D46">
        <v>1992</v>
      </c>
      <c r="E46">
        <v>287</v>
      </c>
      <c r="F46">
        <v>238</v>
      </c>
      <c r="G46">
        <v>16</v>
      </c>
      <c r="H46">
        <v>4</v>
      </c>
      <c r="I46">
        <v>9</v>
      </c>
      <c r="J46">
        <v>195</v>
      </c>
      <c r="K46">
        <v>45</v>
      </c>
    </row>
    <row r="47" spans="1:11" x14ac:dyDescent="0.2">
      <c r="A47">
        <v>46</v>
      </c>
      <c r="B47">
        <v>4600</v>
      </c>
      <c r="C47">
        <v>103500</v>
      </c>
      <c r="D47">
        <v>2069</v>
      </c>
      <c r="E47">
        <v>298</v>
      </c>
      <c r="F47">
        <v>248</v>
      </c>
      <c r="G47">
        <v>16</v>
      </c>
      <c r="H47">
        <v>4</v>
      </c>
      <c r="I47">
        <v>9</v>
      </c>
      <c r="J47">
        <v>195</v>
      </c>
      <c r="K47">
        <v>46</v>
      </c>
    </row>
    <row r="48" spans="1:11" x14ac:dyDescent="0.2">
      <c r="A48">
        <v>47</v>
      </c>
      <c r="B48">
        <v>4700</v>
      </c>
      <c r="C48">
        <v>108100</v>
      </c>
      <c r="D48">
        <v>2147</v>
      </c>
      <c r="E48">
        <v>309</v>
      </c>
      <c r="F48">
        <v>258</v>
      </c>
      <c r="G48">
        <v>16</v>
      </c>
      <c r="H48">
        <v>4</v>
      </c>
      <c r="I48">
        <v>9</v>
      </c>
      <c r="J48">
        <v>195</v>
      </c>
      <c r="K48">
        <v>47</v>
      </c>
    </row>
    <row r="49" spans="1:11" x14ac:dyDescent="0.2">
      <c r="A49">
        <v>48</v>
      </c>
      <c r="B49">
        <v>4800</v>
      </c>
      <c r="C49">
        <v>112800</v>
      </c>
      <c r="D49">
        <v>2227</v>
      </c>
      <c r="E49">
        <v>320</v>
      </c>
      <c r="F49">
        <v>268</v>
      </c>
      <c r="G49">
        <v>17</v>
      </c>
      <c r="H49">
        <v>4</v>
      </c>
      <c r="I49">
        <v>9</v>
      </c>
      <c r="J49">
        <v>195</v>
      </c>
      <c r="K49">
        <v>48</v>
      </c>
    </row>
    <row r="50" spans="1:11" x14ac:dyDescent="0.2">
      <c r="A50">
        <v>49</v>
      </c>
      <c r="B50">
        <v>4900</v>
      </c>
      <c r="C50">
        <v>117600</v>
      </c>
      <c r="D50">
        <v>2308</v>
      </c>
      <c r="E50">
        <v>331</v>
      </c>
      <c r="F50">
        <v>278</v>
      </c>
      <c r="G50">
        <v>17</v>
      </c>
      <c r="H50">
        <v>4</v>
      </c>
      <c r="I50">
        <v>9</v>
      </c>
      <c r="J50">
        <v>195</v>
      </c>
      <c r="K50">
        <v>49</v>
      </c>
    </row>
    <row r="51" spans="1:11" x14ac:dyDescent="0.2">
      <c r="A51">
        <v>50</v>
      </c>
      <c r="B51">
        <v>5000</v>
      </c>
      <c r="C51">
        <v>122500</v>
      </c>
      <c r="D51">
        <v>2391</v>
      </c>
      <c r="E51">
        <v>343</v>
      </c>
      <c r="F51">
        <v>289</v>
      </c>
      <c r="G51">
        <v>17</v>
      </c>
      <c r="H51">
        <v>5</v>
      </c>
      <c r="I51">
        <v>10</v>
      </c>
      <c r="J51">
        <v>200</v>
      </c>
      <c r="K51">
        <v>50</v>
      </c>
    </row>
    <row r="52" spans="1:11" x14ac:dyDescent="0.2">
      <c r="A52">
        <v>51</v>
      </c>
      <c r="B52">
        <v>5100</v>
      </c>
      <c r="C52">
        <v>127500</v>
      </c>
      <c r="D52">
        <v>2475</v>
      </c>
      <c r="E52">
        <v>355</v>
      </c>
      <c r="F52">
        <v>300</v>
      </c>
      <c r="G52">
        <v>18</v>
      </c>
      <c r="H52">
        <v>5</v>
      </c>
      <c r="I52">
        <v>10</v>
      </c>
      <c r="J52">
        <v>200</v>
      </c>
      <c r="K52">
        <v>51</v>
      </c>
    </row>
    <row r="53" spans="1:11" x14ac:dyDescent="0.2">
      <c r="A53">
        <v>52</v>
      </c>
      <c r="B53">
        <v>5200</v>
      </c>
      <c r="C53">
        <v>132600</v>
      </c>
      <c r="D53">
        <v>2561</v>
      </c>
      <c r="E53">
        <v>367</v>
      </c>
      <c r="F53">
        <v>311</v>
      </c>
      <c r="G53">
        <v>18</v>
      </c>
      <c r="H53">
        <v>5</v>
      </c>
      <c r="I53">
        <v>10</v>
      </c>
      <c r="J53">
        <v>200</v>
      </c>
      <c r="K53">
        <v>52</v>
      </c>
    </row>
    <row r="54" spans="1:11" x14ac:dyDescent="0.2">
      <c r="A54">
        <v>53</v>
      </c>
      <c r="B54">
        <v>5300</v>
      </c>
      <c r="C54">
        <v>137800</v>
      </c>
      <c r="D54">
        <v>2648</v>
      </c>
      <c r="E54">
        <v>379</v>
      </c>
      <c r="F54">
        <v>322</v>
      </c>
      <c r="G54">
        <v>18</v>
      </c>
      <c r="H54">
        <v>5</v>
      </c>
      <c r="I54">
        <v>10</v>
      </c>
      <c r="J54">
        <v>200</v>
      </c>
      <c r="K54">
        <v>53</v>
      </c>
    </row>
    <row r="55" spans="1:11" x14ac:dyDescent="0.2">
      <c r="A55">
        <v>54</v>
      </c>
      <c r="B55">
        <v>5400</v>
      </c>
      <c r="C55">
        <v>143100</v>
      </c>
      <c r="D55">
        <v>2737</v>
      </c>
      <c r="E55">
        <v>391</v>
      </c>
      <c r="F55">
        <v>333</v>
      </c>
      <c r="G55">
        <v>19</v>
      </c>
      <c r="H55">
        <v>5</v>
      </c>
      <c r="I55">
        <v>10</v>
      </c>
      <c r="J55">
        <v>200</v>
      </c>
      <c r="K55">
        <v>54</v>
      </c>
    </row>
    <row r="56" spans="1:11" x14ac:dyDescent="0.2">
      <c r="A56">
        <v>55</v>
      </c>
      <c r="B56">
        <v>5500</v>
      </c>
      <c r="C56">
        <v>148500</v>
      </c>
      <c r="D56">
        <v>2827</v>
      </c>
      <c r="E56">
        <v>404</v>
      </c>
      <c r="F56">
        <v>345</v>
      </c>
      <c r="G56">
        <v>19</v>
      </c>
      <c r="H56">
        <v>5</v>
      </c>
      <c r="I56">
        <v>11</v>
      </c>
      <c r="J56">
        <v>205</v>
      </c>
      <c r="K56">
        <v>55</v>
      </c>
    </row>
    <row r="57" spans="1:11" x14ac:dyDescent="0.2">
      <c r="A57">
        <v>56</v>
      </c>
      <c r="B57">
        <v>5600</v>
      </c>
      <c r="C57">
        <v>154000</v>
      </c>
      <c r="D57">
        <v>2919</v>
      </c>
      <c r="E57">
        <v>417</v>
      </c>
      <c r="F57">
        <v>357</v>
      </c>
      <c r="G57">
        <v>19</v>
      </c>
      <c r="H57">
        <v>5</v>
      </c>
      <c r="I57">
        <v>11</v>
      </c>
      <c r="J57">
        <v>205</v>
      </c>
      <c r="K57">
        <v>56</v>
      </c>
    </row>
    <row r="58" spans="1:11" x14ac:dyDescent="0.2">
      <c r="A58">
        <v>57</v>
      </c>
      <c r="B58">
        <v>5700</v>
      </c>
      <c r="C58">
        <v>159600</v>
      </c>
      <c r="D58">
        <v>3012</v>
      </c>
      <c r="E58">
        <v>430</v>
      </c>
      <c r="F58">
        <v>369</v>
      </c>
      <c r="G58">
        <v>20</v>
      </c>
      <c r="H58">
        <v>5</v>
      </c>
      <c r="I58">
        <v>11</v>
      </c>
      <c r="J58">
        <v>205</v>
      </c>
      <c r="K58">
        <v>57</v>
      </c>
    </row>
    <row r="59" spans="1:11" x14ac:dyDescent="0.2">
      <c r="A59">
        <v>58</v>
      </c>
      <c r="B59">
        <v>5800</v>
      </c>
      <c r="C59">
        <v>165300</v>
      </c>
      <c r="D59">
        <v>3107</v>
      </c>
      <c r="E59">
        <v>443</v>
      </c>
      <c r="F59">
        <v>381</v>
      </c>
      <c r="G59">
        <v>20</v>
      </c>
      <c r="H59">
        <v>5</v>
      </c>
      <c r="I59">
        <v>11</v>
      </c>
      <c r="J59">
        <v>205</v>
      </c>
      <c r="K59">
        <v>58</v>
      </c>
    </row>
    <row r="60" spans="1:11" x14ac:dyDescent="0.2">
      <c r="A60">
        <v>59</v>
      </c>
      <c r="B60">
        <v>5900</v>
      </c>
      <c r="C60">
        <v>171100</v>
      </c>
      <c r="D60">
        <v>3203</v>
      </c>
      <c r="E60">
        <v>456</v>
      </c>
      <c r="F60">
        <v>393</v>
      </c>
      <c r="G60">
        <v>20</v>
      </c>
      <c r="H60">
        <v>5</v>
      </c>
      <c r="I60">
        <v>11</v>
      </c>
      <c r="J60">
        <v>205</v>
      </c>
      <c r="K60">
        <v>59</v>
      </c>
    </row>
    <row r="61" spans="1:11" x14ac:dyDescent="0.2">
      <c r="A61">
        <v>60</v>
      </c>
      <c r="B61">
        <v>6000</v>
      </c>
      <c r="C61">
        <v>177000</v>
      </c>
      <c r="D61">
        <v>3301</v>
      </c>
      <c r="E61">
        <v>470</v>
      </c>
      <c r="F61">
        <v>406</v>
      </c>
      <c r="G61">
        <v>21</v>
      </c>
      <c r="H61">
        <v>6</v>
      </c>
      <c r="I61">
        <v>12</v>
      </c>
      <c r="J61">
        <v>210</v>
      </c>
      <c r="K61">
        <v>60</v>
      </c>
    </row>
    <row r="62" spans="1:11" x14ac:dyDescent="0.2">
      <c r="A62">
        <v>61</v>
      </c>
      <c r="B62">
        <v>6100</v>
      </c>
      <c r="C62">
        <v>183000</v>
      </c>
      <c r="D62">
        <v>3400</v>
      </c>
      <c r="E62">
        <v>484</v>
      </c>
      <c r="F62">
        <v>419</v>
      </c>
      <c r="G62">
        <v>21</v>
      </c>
      <c r="H62">
        <v>6</v>
      </c>
      <c r="I62">
        <v>12</v>
      </c>
      <c r="J62">
        <v>210</v>
      </c>
      <c r="K62">
        <v>61</v>
      </c>
    </row>
    <row r="63" spans="1:11" x14ac:dyDescent="0.2">
      <c r="A63">
        <v>62</v>
      </c>
      <c r="B63">
        <v>6200</v>
      </c>
      <c r="C63">
        <v>189100</v>
      </c>
      <c r="D63">
        <v>3501</v>
      </c>
      <c r="E63">
        <v>498</v>
      </c>
      <c r="F63">
        <v>432</v>
      </c>
      <c r="G63">
        <v>21</v>
      </c>
      <c r="H63">
        <v>6</v>
      </c>
      <c r="I63">
        <v>12</v>
      </c>
      <c r="J63">
        <v>210</v>
      </c>
      <c r="K63">
        <v>62</v>
      </c>
    </row>
    <row r="64" spans="1:11" x14ac:dyDescent="0.2">
      <c r="A64">
        <v>63</v>
      </c>
      <c r="B64">
        <v>6300</v>
      </c>
      <c r="C64">
        <v>195300</v>
      </c>
      <c r="D64">
        <v>3603</v>
      </c>
      <c r="E64">
        <v>512</v>
      </c>
      <c r="F64">
        <v>445</v>
      </c>
      <c r="G64">
        <v>22</v>
      </c>
      <c r="H64">
        <v>6</v>
      </c>
      <c r="I64">
        <v>12</v>
      </c>
      <c r="J64">
        <v>210</v>
      </c>
      <c r="K64">
        <v>63</v>
      </c>
    </row>
    <row r="65" spans="1:11" x14ac:dyDescent="0.2">
      <c r="A65">
        <v>64</v>
      </c>
      <c r="B65">
        <v>6400</v>
      </c>
      <c r="C65">
        <v>201600</v>
      </c>
      <c r="D65">
        <v>3707</v>
      </c>
      <c r="E65">
        <v>526</v>
      </c>
      <c r="F65">
        <v>458</v>
      </c>
      <c r="G65">
        <v>22</v>
      </c>
      <c r="H65">
        <v>6</v>
      </c>
      <c r="I65">
        <v>12</v>
      </c>
      <c r="J65">
        <v>210</v>
      </c>
      <c r="K65">
        <v>64</v>
      </c>
    </row>
    <row r="66" spans="1:11" x14ac:dyDescent="0.2">
      <c r="A66">
        <v>65</v>
      </c>
      <c r="B66">
        <v>6500</v>
      </c>
      <c r="C66">
        <v>208000</v>
      </c>
      <c r="D66">
        <v>3812</v>
      </c>
      <c r="E66">
        <v>541</v>
      </c>
      <c r="F66">
        <v>472</v>
      </c>
      <c r="G66">
        <v>22</v>
      </c>
      <c r="H66">
        <v>6</v>
      </c>
      <c r="I66">
        <v>13</v>
      </c>
      <c r="J66">
        <v>215</v>
      </c>
      <c r="K66">
        <v>65</v>
      </c>
    </row>
    <row r="67" spans="1:11" x14ac:dyDescent="0.2">
      <c r="A67">
        <v>66</v>
      </c>
      <c r="B67">
        <v>6600</v>
      </c>
      <c r="C67">
        <v>214500</v>
      </c>
      <c r="D67">
        <v>3919</v>
      </c>
      <c r="E67">
        <v>556</v>
      </c>
      <c r="F67">
        <v>486</v>
      </c>
      <c r="G67">
        <v>23</v>
      </c>
      <c r="H67">
        <v>6</v>
      </c>
      <c r="I67">
        <v>13</v>
      </c>
      <c r="J67">
        <v>215</v>
      </c>
      <c r="K67">
        <v>66</v>
      </c>
    </row>
    <row r="68" spans="1:11" x14ac:dyDescent="0.2">
      <c r="A68">
        <v>67</v>
      </c>
      <c r="B68">
        <v>6700</v>
      </c>
      <c r="C68">
        <v>221100</v>
      </c>
      <c r="D68">
        <v>4027</v>
      </c>
      <c r="E68">
        <v>571</v>
      </c>
      <c r="F68">
        <v>500</v>
      </c>
      <c r="G68">
        <v>23</v>
      </c>
      <c r="H68">
        <v>6</v>
      </c>
      <c r="I68">
        <v>13</v>
      </c>
      <c r="J68">
        <v>215</v>
      </c>
      <c r="K68">
        <v>67</v>
      </c>
    </row>
    <row r="69" spans="1:11" x14ac:dyDescent="0.2">
      <c r="A69">
        <v>68</v>
      </c>
      <c r="B69">
        <v>6800</v>
      </c>
      <c r="C69">
        <v>227800</v>
      </c>
      <c r="D69">
        <v>4137</v>
      </c>
      <c r="E69">
        <v>586</v>
      </c>
      <c r="F69">
        <v>514</v>
      </c>
      <c r="G69">
        <v>23</v>
      </c>
      <c r="H69">
        <v>6</v>
      </c>
      <c r="I69">
        <v>13</v>
      </c>
      <c r="J69">
        <v>215</v>
      </c>
      <c r="K69">
        <v>68</v>
      </c>
    </row>
    <row r="70" spans="1:11" x14ac:dyDescent="0.2">
      <c r="A70">
        <v>69</v>
      </c>
      <c r="B70">
        <v>6900</v>
      </c>
      <c r="C70">
        <v>234600</v>
      </c>
      <c r="D70">
        <v>4248</v>
      </c>
      <c r="E70">
        <v>601</v>
      </c>
      <c r="F70">
        <v>528</v>
      </c>
      <c r="G70">
        <v>24</v>
      </c>
      <c r="H70">
        <v>6</v>
      </c>
      <c r="I70">
        <v>13</v>
      </c>
      <c r="J70">
        <v>215</v>
      </c>
      <c r="K70">
        <v>69</v>
      </c>
    </row>
    <row r="71" spans="1:11" x14ac:dyDescent="0.2">
      <c r="A71">
        <v>70</v>
      </c>
      <c r="B71">
        <v>7000</v>
      </c>
      <c r="C71">
        <v>241500</v>
      </c>
      <c r="D71">
        <v>4361</v>
      </c>
      <c r="E71">
        <v>617</v>
      </c>
      <c r="F71">
        <v>543</v>
      </c>
      <c r="G71">
        <v>24</v>
      </c>
      <c r="H71">
        <v>7</v>
      </c>
      <c r="I71">
        <v>14</v>
      </c>
      <c r="J71">
        <v>220</v>
      </c>
      <c r="K71">
        <v>70</v>
      </c>
    </row>
    <row r="72" spans="1:11" x14ac:dyDescent="0.2">
      <c r="A72">
        <v>71</v>
      </c>
      <c r="B72">
        <v>7100</v>
      </c>
      <c r="C72">
        <v>248500</v>
      </c>
      <c r="D72">
        <v>4475</v>
      </c>
      <c r="E72">
        <v>633</v>
      </c>
      <c r="F72">
        <v>558</v>
      </c>
      <c r="G72">
        <v>24</v>
      </c>
      <c r="H72">
        <v>7</v>
      </c>
      <c r="I72">
        <v>14</v>
      </c>
      <c r="J72">
        <v>220</v>
      </c>
      <c r="K72">
        <v>71</v>
      </c>
    </row>
    <row r="73" spans="1:11" x14ac:dyDescent="0.2">
      <c r="A73">
        <v>72</v>
      </c>
      <c r="B73">
        <v>7200</v>
      </c>
      <c r="C73">
        <v>255600</v>
      </c>
      <c r="D73">
        <v>4591</v>
      </c>
      <c r="E73">
        <v>649</v>
      </c>
      <c r="F73">
        <v>573</v>
      </c>
      <c r="G73">
        <v>25</v>
      </c>
      <c r="H73">
        <v>7</v>
      </c>
      <c r="I73">
        <v>14</v>
      </c>
      <c r="J73">
        <v>220</v>
      </c>
      <c r="K73">
        <v>72</v>
      </c>
    </row>
    <row r="74" spans="1:11" x14ac:dyDescent="0.2">
      <c r="A74">
        <v>73</v>
      </c>
      <c r="B74">
        <v>7300</v>
      </c>
      <c r="C74">
        <v>262800</v>
      </c>
      <c r="D74">
        <v>4708</v>
      </c>
      <c r="E74">
        <v>665</v>
      </c>
      <c r="F74">
        <v>588</v>
      </c>
      <c r="G74">
        <v>25</v>
      </c>
      <c r="H74">
        <v>7</v>
      </c>
      <c r="I74">
        <v>14</v>
      </c>
      <c r="J74">
        <v>220</v>
      </c>
      <c r="K74">
        <v>73</v>
      </c>
    </row>
    <row r="75" spans="1:11" x14ac:dyDescent="0.2">
      <c r="A75">
        <v>74</v>
      </c>
      <c r="B75">
        <v>7400</v>
      </c>
      <c r="C75">
        <v>270100</v>
      </c>
      <c r="D75">
        <v>4827</v>
      </c>
      <c r="E75">
        <v>681</v>
      </c>
      <c r="F75">
        <v>603</v>
      </c>
      <c r="G75">
        <v>25</v>
      </c>
      <c r="H75">
        <v>7</v>
      </c>
      <c r="I75">
        <v>14</v>
      </c>
      <c r="J75">
        <v>220</v>
      </c>
      <c r="K75">
        <v>74</v>
      </c>
    </row>
    <row r="76" spans="1:11" x14ac:dyDescent="0.2">
      <c r="A76">
        <v>75</v>
      </c>
      <c r="B76">
        <v>7500</v>
      </c>
      <c r="C76">
        <v>277500</v>
      </c>
      <c r="D76">
        <v>4947</v>
      </c>
      <c r="E76">
        <v>698</v>
      </c>
      <c r="F76">
        <v>619</v>
      </c>
      <c r="G76">
        <v>26</v>
      </c>
      <c r="H76">
        <v>7</v>
      </c>
      <c r="I76">
        <v>15</v>
      </c>
      <c r="J76">
        <v>225</v>
      </c>
      <c r="K76">
        <v>75</v>
      </c>
    </row>
    <row r="77" spans="1:11" x14ac:dyDescent="0.2">
      <c r="A77">
        <v>76</v>
      </c>
      <c r="B77">
        <v>7600</v>
      </c>
      <c r="C77">
        <v>285000</v>
      </c>
      <c r="D77">
        <v>5069</v>
      </c>
      <c r="E77">
        <v>715</v>
      </c>
      <c r="F77">
        <v>635</v>
      </c>
      <c r="G77">
        <v>26</v>
      </c>
      <c r="H77">
        <v>7</v>
      </c>
      <c r="I77">
        <v>15</v>
      </c>
      <c r="J77">
        <v>225</v>
      </c>
      <c r="K77">
        <v>76</v>
      </c>
    </row>
    <row r="78" spans="1:11" x14ac:dyDescent="0.2">
      <c r="A78">
        <v>77</v>
      </c>
      <c r="B78">
        <v>7700</v>
      </c>
      <c r="C78">
        <v>292600</v>
      </c>
      <c r="D78">
        <v>5192</v>
      </c>
      <c r="E78">
        <v>732</v>
      </c>
      <c r="F78">
        <v>651</v>
      </c>
      <c r="G78">
        <v>26</v>
      </c>
      <c r="H78">
        <v>7</v>
      </c>
      <c r="I78">
        <v>15</v>
      </c>
      <c r="J78">
        <v>225</v>
      </c>
      <c r="K78">
        <v>77</v>
      </c>
    </row>
    <row r="79" spans="1:11" x14ac:dyDescent="0.2">
      <c r="A79">
        <v>78</v>
      </c>
      <c r="B79">
        <v>7800</v>
      </c>
      <c r="C79">
        <v>300300</v>
      </c>
      <c r="D79">
        <v>5317</v>
      </c>
      <c r="E79">
        <v>749</v>
      </c>
      <c r="F79">
        <v>667</v>
      </c>
      <c r="G79">
        <v>27</v>
      </c>
      <c r="H79">
        <v>7</v>
      </c>
      <c r="I79">
        <v>15</v>
      </c>
      <c r="J79">
        <v>225</v>
      </c>
      <c r="K79">
        <v>78</v>
      </c>
    </row>
    <row r="80" spans="1:11" x14ac:dyDescent="0.2">
      <c r="A80">
        <v>79</v>
      </c>
      <c r="B80">
        <v>7900</v>
      </c>
      <c r="C80">
        <v>308100</v>
      </c>
      <c r="D80">
        <v>5443</v>
      </c>
      <c r="E80">
        <v>766</v>
      </c>
      <c r="F80">
        <v>683</v>
      </c>
      <c r="G80">
        <v>27</v>
      </c>
      <c r="H80">
        <v>7</v>
      </c>
      <c r="I80">
        <v>15</v>
      </c>
      <c r="J80">
        <v>225</v>
      </c>
      <c r="K80">
        <v>79</v>
      </c>
    </row>
    <row r="81" spans="1:11" x14ac:dyDescent="0.2">
      <c r="A81">
        <v>80</v>
      </c>
      <c r="B81">
        <v>8000</v>
      </c>
      <c r="C81">
        <v>316000</v>
      </c>
      <c r="D81">
        <v>5571</v>
      </c>
      <c r="E81">
        <v>784</v>
      </c>
      <c r="F81">
        <v>700</v>
      </c>
      <c r="G81">
        <v>27</v>
      </c>
      <c r="H81">
        <v>8</v>
      </c>
      <c r="I81">
        <v>16</v>
      </c>
      <c r="J81">
        <v>230</v>
      </c>
      <c r="K81">
        <v>80</v>
      </c>
    </row>
    <row r="82" spans="1:11" x14ac:dyDescent="0.2">
      <c r="A82">
        <v>81</v>
      </c>
      <c r="B82">
        <v>8100</v>
      </c>
      <c r="C82">
        <v>324000</v>
      </c>
      <c r="D82">
        <v>5700</v>
      </c>
      <c r="E82">
        <v>802</v>
      </c>
      <c r="F82">
        <v>717</v>
      </c>
      <c r="G82">
        <v>28</v>
      </c>
      <c r="H82">
        <v>8</v>
      </c>
      <c r="I82">
        <v>16</v>
      </c>
      <c r="J82">
        <v>230</v>
      </c>
      <c r="K82">
        <v>81</v>
      </c>
    </row>
    <row r="83" spans="1:11" x14ac:dyDescent="0.2">
      <c r="A83">
        <v>82</v>
      </c>
      <c r="B83">
        <v>8200</v>
      </c>
      <c r="C83">
        <v>332100</v>
      </c>
      <c r="D83">
        <v>5831</v>
      </c>
      <c r="E83">
        <v>820</v>
      </c>
      <c r="F83">
        <v>734</v>
      </c>
      <c r="G83">
        <v>28</v>
      </c>
      <c r="H83">
        <v>8</v>
      </c>
      <c r="I83">
        <v>16</v>
      </c>
      <c r="J83">
        <v>230</v>
      </c>
      <c r="K83">
        <v>82</v>
      </c>
    </row>
    <row r="84" spans="1:11" x14ac:dyDescent="0.2">
      <c r="A84">
        <v>83</v>
      </c>
      <c r="B84">
        <v>8300</v>
      </c>
      <c r="C84">
        <v>340300</v>
      </c>
      <c r="D84">
        <v>5963</v>
      </c>
      <c r="E84">
        <v>838</v>
      </c>
      <c r="F84">
        <v>751</v>
      </c>
      <c r="G84">
        <v>28</v>
      </c>
      <c r="H84">
        <v>8</v>
      </c>
      <c r="I84">
        <v>16</v>
      </c>
      <c r="J84">
        <v>230</v>
      </c>
      <c r="K84">
        <v>83</v>
      </c>
    </row>
    <row r="85" spans="1:11" x14ac:dyDescent="0.2">
      <c r="A85">
        <v>84</v>
      </c>
      <c r="B85">
        <v>8400</v>
      </c>
      <c r="C85">
        <v>348600</v>
      </c>
      <c r="D85">
        <v>6097</v>
      </c>
      <c r="E85">
        <v>856</v>
      </c>
      <c r="F85">
        <v>768</v>
      </c>
      <c r="G85">
        <v>29</v>
      </c>
      <c r="H85">
        <v>8</v>
      </c>
      <c r="I85">
        <v>16</v>
      </c>
      <c r="J85">
        <v>230</v>
      </c>
      <c r="K85">
        <v>84</v>
      </c>
    </row>
    <row r="86" spans="1:11" x14ac:dyDescent="0.2">
      <c r="A86">
        <v>85</v>
      </c>
      <c r="B86">
        <v>8500</v>
      </c>
      <c r="C86">
        <v>357000</v>
      </c>
      <c r="D86">
        <v>6232</v>
      </c>
      <c r="E86">
        <v>875</v>
      </c>
      <c r="F86">
        <v>786</v>
      </c>
      <c r="G86">
        <v>29</v>
      </c>
      <c r="H86">
        <v>8</v>
      </c>
      <c r="I86">
        <v>17</v>
      </c>
      <c r="J86">
        <v>235</v>
      </c>
      <c r="K86">
        <v>85</v>
      </c>
    </row>
    <row r="87" spans="1:11" x14ac:dyDescent="0.2">
      <c r="A87">
        <v>86</v>
      </c>
      <c r="B87">
        <v>8600</v>
      </c>
      <c r="C87">
        <v>365500</v>
      </c>
      <c r="D87">
        <v>6369</v>
      </c>
      <c r="E87">
        <v>894</v>
      </c>
      <c r="F87">
        <v>804</v>
      </c>
      <c r="G87">
        <v>29</v>
      </c>
      <c r="H87">
        <v>8</v>
      </c>
      <c r="I87">
        <v>17</v>
      </c>
      <c r="J87">
        <v>235</v>
      </c>
      <c r="K87">
        <v>86</v>
      </c>
    </row>
    <row r="88" spans="1:11" x14ac:dyDescent="0.2">
      <c r="A88">
        <v>87</v>
      </c>
      <c r="B88">
        <v>8700</v>
      </c>
      <c r="C88">
        <v>374100</v>
      </c>
      <c r="D88">
        <v>6507</v>
      </c>
      <c r="E88">
        <v>913</v>
      </c>
      <c r="F88">
        <v>822</v>
      </c>
      <c r="G88">
        <v>30</v>
      </c>
      <c r="H88">
        <v>8</v>
      </c>
      <c r="I88">
        <v>17</v>
      </c>
      <c r="J88">
        <v>235</v>
      </c>
      <c r="K88">
        <v>87</v>
      </c>
    </row>
    <row r="89" spans="1:11" x14ac:dyDescent="0.2">
      <c r="A89">
        <v>88</v>
      </c>
      <c r="B89">
        <v>8800</v>
      </c>
      <c r="C89">
        <v>382800</v>
      </c>
      <c r="D89">
        <v>6647</v>
      </c>
      <c r="E89">
        <v>932</v>
      </c>
      <c r="F89">
        <v>840</v>
      </c>
      <c r="G89">
        <v>30</v>
      </c>
      <c r="H89">
        <v>8</v>
      </c>
      <c r="I89">
        <v>17</v>
      </c>
      <c r="J89">
        <v>235</v>
      </c>
      <c r="K89">
        <v>88</v>
      </c>
    </row>
    <row r="90" spans="1:11" x14ac:dyDescent="0.2">
      <c r="A90">
        <v>89</v>
      </c>
      <c r="B90">
        <v>8900</v>
      </c>
      <c r="C90">
        <v>391600</v>
      </c>
      <c r="D90">
        <v>6788</v>
      </c>
      <c r="E90">
        <v>951</v>
      </c>
      <c r="F90">
        <v>858</v>
      </c>
      <c r="G90">
        <v>30</v>
      </c>
      <c r="H90">
        <v>8</v>
      </c>
      <c r="I90">
        <v>17</v>
      </c>
      <c r="J90">
        <v>235</v>
      </c>
      <c r="K90">
        <v>89</v>
      </c>
    </row>
    <row r="91" spans="1:11" x14ac:dyDescent="0.2">
      <c r="A91">
        <v>90</v>
      </c>
      <c r="B91">
        <v>9000</v>
      </c>
      <c r="C91">
        <v>400500</v>
      </c>
      <c r="D91">
        <v>6931</v>
      </c>
      <c r="E91">
        <v>971</v>
      </c>
      <c r="F91">
        <v>877</v>
      </c>
      <c r="G91">
        <v>31</v>
      </c>
      <c r="H91">
        <v>9</v>
      </c>
      <c r="I91">
        <v>18</v>
      </c>
      <c r="J91">
        <v>240</v>
      </c>
      <c r="K91">
        <v>90</v>
      </c>
    </row>
    <row r="92" spans="1:11" x14ac:dyDescent="0.2">
      <c r="A92">
        <v>91</v>
      </c>
      <c r="B92">
        <v>9100</v>
      </c>
      <c r="C92">
        <v>409500</v>
      </c>
      <c r="D92">
        <v>7075</v>
      </c>
      <c r="E92">
        <v>991</v>
      </c>
      <c r="F92">
        <v>896</v>
      </c>
      <c r="G92">
        <v>31</v>
      </c>
      <c r="H92">
        <v>9</v>
      </c>
      <c r="I92">
        <v>18</v>
      </c>
      <c r="J92">
        <v>240</v>
      </c>
      <c r="K92">
        <v>91</v>
      </c>
    </row>
    <row r="93" spans="1:11" x14ac:dyDescent="0.2">
      <c r="A93">
        <v>92</v>
      </c>
      <c r="B93">
        <v>9200</v>
      </c>
      <c r="C93">
        <v>418600</v>
      </c>
      <c r="D93">
        <v>7221</v>
      </c>
      <c r="E93">
        <v>1011</v>
      </c>
      <c r="F93">
        <v>915</v>
      </c>
      <c r="G93">
        <v>31</v>
      </c>
      <c r="H93">
        <v>9</v>
      </c>
      <c r="I93">
        <v>18</v>
      </c>
      <c r="J93">
        <v>240</v>
      </c>
      <c r="K93">
        <v>92</v>
      </c>
    </row>
    <row r="94" spans="1:11" x14ac:dyDescent="0.2">
      <c r="A94">
        <v>93</v>
      </c>
      <c r="B94">
        <v>9300</v>
      </c>
      <c r="C94">
        <v>427800</v>
      </c>
      <c r="D94">
        <v>7368</v>
      </c>
      <c r="E94">
        <v>1031</v>
      </c>
      <c r="F94">
        <v>934</v>
      </c>
      <c r="G94">
        <v>32</v>
      </c>
      <c r="H94">
        <v>9</v>
      </c>
      <c r="I94">
        <v>18</v>
      </c>
      <c r="J94">
        <v>240</v>
      </c>
      <c r="K94">
        <v>93</v>
      </c>
    </row>
    <row r="95" spans="1:11" x14ac:dyDescent="0.2">
      <c r="A95">
        <v>94</v>
      </c>
      <c r="B95">
        <v>9400</v>
      </c>
      <c r="C95">
        <v>437100</v>
      </c>
      <c r="D95">
        <v>7517</v>
      </c>
      <c r="E95">
        <v>1051</v>
      </c>
      <c r="F95">
        <v>953</v>
      </c>
      <c r="G95">
        <v>32</v>
      </c>
      <c r="H95">
        <v>9</v>
      </c>
      <c r="I95">
        <v>18</v>
      </c>
      <c r="J95">
        <v>240</v>
      </c>
      <c r="K95">
        <v>94</v>
      </c>
    </row>
    <row r="96" spans="1:11" x14ac:dyDescent="0.2">
      <c r="A96">
        <v>95</v>
      </c>
      <c r="B96">
        <v>9500</v>
      </c>
      <c r="C96">
        <v>446500</v>
      </c>
      <c r="D96">
        <v>7667</v>
      </c>
      <c r="E96">
        <v>1072</v>
      </c>
      <c r="F96">
        <v>973</v>
      </c>
      <c r="G96">
        <v>32</v>
      </c>
      <c r="H96">
        <v>9</v>
      </c>
      <c r="I96">
        <v>19</v>
      </c>
      <c r="J96">
        <v>245</v>
      </c>
      <c r="K96">
        <v>95</v>
      </c>
    </row>
    <row r="97" spans="1:11" x14ac:dyDescent="0.2">
      <c r="A97">
        <v>96</v>
      </c>
      <c r="B97">
        <v>9600</v>
      </c>
      <c r="C97">
        <v>456000</v>
      </c>
      <c r="D97">
        <v>7819</v>
      </c>
      <c r="E97">
        <v>1093</v>
      </c>
      <c r="F97">
        <v>993</v>
      </c>
      <c r="G97">
        <v>33</v>
      </c>
      <c r="H97">
        <v>9</v>
      </c>
      <c r="I97">
        <v>19</v>
      </c>
      <c r="J97">
        <v>245</v>
      </c>
      <c r="K97">
        <v>96</v>
      </c>
    </row>
    <row r="98" spans="1:11" x14ac:dyDescent="0.2">
      <c r="A98">
        <v>97</v>
      </c>
      <c r="B98">
        <v>9700</v>
      </c>
      <c r="C98">
        <v>465600</v>
      </c>
      <c r="D98">
        <v>7972</v>
      </c>
      <c r="E98">
        <v>1114</v>
      </c>
      <c r="F98">
        <v>1013</v>
      </c>
      <c r="G98">
        <v>33</v>
      </c>
      <c r="H98">
        <v>9</v>
      </c>
      <c r="I98">
        <v>19</v>
      </c>
      <c r="J98">
        <v>245</v>
      </c>
      <c r="K98">
        <v>97</v>
      </c>
    </row>
    <row r="99" spans="1:11" x14ac:dyDescent="0.2">
      <c r="A99">
        <v>98</v>
      </c>
      <c r="B99">
        <v>9800</v>
      </c>
      <c r="C99">
        <v>475300</v>
      </c>
      <c r="D99">
        <v>8127</v>
      </c>
      <c r="E99">
        <v>1135</v>
      </c>
      <c r="F99">
        <v>1033</v>
      </c>
      <c r="G99">
        <v>33</v>
      </c>
      <c r="H99">
        <v>9</v>
      </c>
      <c r="I99">
        <v>19</v>
      </c>
      <c r="J99">
        <v>245</v>
      </c>
      <c r="K99">
        <v>98</v>
      </c>
    </row>
    <row r="100" spans="1:11" x14ac:dyDescent="0.2">
      <c r="A100">
        <v>99</v>
      </c>
      <c r="B100">
        <v>9900</v>
      </c>
      <c r="C100">
        <v>485100</v>
      </c>
      <c r="D100">
        <v>8283</v>
      </c>
      <c r="E100">
        <v>1156</v>
      </c>
      <c r="F100">
        <v>1053</v>
      </c>
      <c r="G100">
        <v>34</v>
      </c>
      <c r="H100">
        <v>9</v>
      </c>
      <c r="I100">
        <v>19</v>
      </c>
      <c r="J100">
        <v>245</v>
      </c>
      <c r="K100">
        <v>99</v>
      </c>
    </row>
    <row r="101" spans="1:11" x14ac:dyDescent="0.2">
      <c r="A101">
        <v>100</v>
      </c>
      <c r="B101">
        <v>10000</v>
      </c>
      <c r="C101">
        <v>495000</v>
      </c>
      <c r="D101">
        <v>8441</v>
      </c>
      <c r="E101">
        <v>1178</v>
      </c>
      <c r="F101">
        <v>1074</v>
      </c>
      <c r="G101">
        <v>34</v>
      </c>
      <c r="H101">
        <v>10</v>
      </c>
      <c r="I101">
        <v>20</v>
      </c>
      <c r="J101">
        <v>250</v>
      </c>
      <c r="K101">
        <v>100</v>
      </c>
    </row>
    <row r="102" spans="1:11" x14ac:dyDescent="0.2">
      <c r="A102">
        <v>101</v>
      </c>
      <c r="B102">
        <v>10100</v>
      </c>
      <c r="C102">
        <v>505000</v>
      </c>
      <c r="D102">
        <v>8600</v>
      </c>
      <c r="E102">
        <v>1200</v>
      </c>
      <c r="F102">
        <v>1095</v>
      </c>
      <c r="G102">
        <v>34</v>
      </c>
      <c r="H102">
        <v>10</v>
      </c>
      <c r="I102">
        <v>20</v>
      </c>
      <c r="J102">
        <v>250</v>
      </c>
      <c r="K102">
        <v>101</v>
      </c>
    </row>
    <row r="103" spans="1:11" x14ac:dyDescent="0.2">
      <c r="A103">
        <v>102</v>
      </c>
      <c r="B103">
        <v>10200</v>
      </c>
      <c r="C103">
        <v>515100</v>
      </c>
      <c r="D103">
        <v>8761</v>
      </c>
      <c r="E103">
        <v>1222</v>
      </c>
      <c r="F103">
        <v>1116</v>
      </c>
      <c r="G103">
        <v>35</v>
      </c>
      <c r="H103">
        <v>10</v>
      </c>
      <c r="I103">
        <v>20</v>
      </c>
      <c r="J103">
        <v>250</v>
      </c>
      <c r="K103">
        <v>102</v>
      </c>
    </row>
    <row r="104" spans="1:11" x14ac:dyDescent="0.2">
      <c r="A104">
        <v>103</v>
      </c>
      <c r="B104">
        <v>10300</v>
      </c>
      <c r="C104">
        <v>525300</v>
      </c>
      <c r="D104">
        <v>8923</v>
      </c>
      <c r="E104">
        <v>1244</v>
      </c>
      <c r="F104">
        <v>1137</v>
      </c>
      <c r="G104">
        <v>35</v>
      </c>
      <c r="H104">
        <v>10</v>
      </c>
      <c r="I104">
        <v>20</v>
      </c>
      <c r="J104">
        <v>250</v>
      </c>
      <c r="K104">
        <v>103</v>
      </c>
    </row>
    <row r="105" spans="1:11" x14ac:dyDescent="0.2">
      <c r="A105">
        <v>104</v>
      </c>
      <c r="B105">
        <v>10400</v>
      </c>
      <c r="C105">
        <v>535600</v>
      </c>
      <c r="D105">
        <v>9087</v>
      </c>
      <c r="E105">
        <v>1266</v>
      </c>
      <c r="F105">
        <v>1158</v>
      </c>
      <c r="G105">
        <v>35</v>
      </c>
      <c r="H105">
        <v>10</v>
      </c>
      <c r="I105">
        <v>20</v>
      </c>
      <c r="J105">
        <v>250</v>
      </c>
      <c r="K105">
        <v>104</v>
      </c>
    </row>
    <row r="106" spans="1:11" x14ac:dyDescent="0.2">
      <c r="A106">
        <v>105</v>
      </c>
      <c r="B106">
        <v>10500</v>
      </c>
      <c r="C106">
        <v>546000</v>
      </c>
      <c r="D106">
        <v>9252</v>
      </c>
      <c r="E106">
        <v>1289</v>
      </c>
      <c r="F106">
        <v>1180</v>
      </c>
      <c r="G106">
        <v>36</v>
      </c>
      <c r="H106">
        <v>10</v>
      </c>
      <c r="I106">
        <v>21</v>
      </c>
      <c r="J106">
        <v>255</v>
      </c>
      <c r="K106">
        <v>105</v>
      </c>
    </row>
    <row r="107" spans="1:11" x14ac:dyDescent="0.2">
      <c r="A107">
        <v>106</v>
      </c>
      <c r="B107">
        <v>10600</v>
      </c>
      <c r="C107">
        <v>556500</v>
      </c>
      <c r="D107">
        <v>9419</v>
      </c>
      <c r="E107">
        <v>1312</v>
      </c>
      <c r="F107">
        <v>1202</v>
      </c>
      <c r="G107">
        <v>36</v>
      </c>
      <c r="H107">
        <v>10</v>
      </c>
      <c r="I107">
        <v>21</v>
      </c>
      <c r="J107">
        <v>255</v>
      </c>
      <c r="K107">
        <v>106</v>
      </c>
    </row>
    <row r="108" spans="1:11" x14ac:dyDescent="0.2">
      <c r="A108">
        <v>107</v>
      </c>
      <c r="B108">
        <v>10700</v>
      </c>
      <c r="C108">
        <v>567100</v>
      </c>
      <c r="D108">
        <v>9587</v>
      </c>
      <c r="E108">
        <v>1335</v>
      </c>
      <c r="F108">
        <v>1224</v>
      </c>
      <c r="G108">
        <v>36</v>
      </c>
      <c r="H108">
        <v>10</v>
      </c>
      <c r="I108">
        <v>21</v>
      </c>
      <c r="J108">
        <v>255</v>
      </c>
      <c r="K108">
        <v>107</v>
      </c>
    </row>
    <row r="109" spans="1:11" x14ac:dyDescent="0.2">
      <c r="A109">
        <v>108</v>
      </c>
      <c r="B109">
        <v>10800</v>
      </c>
      <c r="C109">
        <v>577800</v>
      </c>
      <c r="D109">
        <v>9757</v>
      </c>
      <c r="E109">
        <v>1358</v>
      </c>
      <c r="F109">
        <v>1246</v>
      </c>
      <c r="G109">
        <v>37</v>
      </c>
      <c r="H109">
        <v>10</v>
      </c>
      <c r="I109">
        <v>21</v>
      </c>
      <c r="J109">
        <v>255</v>
      </c>
      <c r="K109">
        <v>108</v>
      </c>
    </row>
    <row r="110" spans="1:11" x14ac:dyDescent="0.2">
      <c r="A110">
        <v>109</v>
      </c>
      <c r="B110">
        <v>10900</v>
      </c>
      <c r="C110">
        <v>588600</v>
      </c>
      <c r="D110">
        <v>9928</v>
      </c>
      <c r="E110">
        <v>1381</v>
      </c>
      <c r="F110">
        <v>1268</v>
      </c>
      <c r="G110">
        <v>37</v>
      </c>
      <c r="H110">
        <v>10</v>
      </c>
      <c r="I110">
        <v>21</v>
      </c>
      <c r="J110">
        <v>255</v>
      </c>
      <c r="K110">
        <v>109</v>
      </c>
    </row>
    <row r="111" spans="1:11" x14ac:dyDescent="0.2">
      <c r="A111">
        <v>110</v>
      </c>
      <c r="B111">
        <v>11000</v>
      </c>
      <c r="C111">
        <v>599500</v>
      </c>
      <c r="D111">
        <v>10101</v>
      </c>
      <c r="E111">
        <v>1405</v>
      </c>
      <c r="F111">
        <v>1291</v>
      </c>
      <c r="G111">
        <v>37</v>
      </c>
      <c r="H111">
        <v>11</v>
      </c>
      <c r="I111">
        <v>22</v>
      </c>
      <c r="J111">
        <v>260</v>
      </c>
      <c r="K111">
        <v>110</v>
      </c>
    </row>
    <row r="112" spans="1:11" x14ac:dyDescent="0.2">
      <c r="A112">
        <v>111</v>
      </c>
      <c r="B112">
        <v>11100</v>
      </c>
      <c r="C112">
        <v>610500</v>
      </c>
      <c r="D112">
        <v>10275</v>
      </c>
      <c r="E112">
        <v>1429</v>
      </c>
      <c r="F112">
        <v>1314</v>
      </c>
      <c r="G112">
        <v>38</v>
      </c>
      <c r="H112">
        <v>11</v>
      </c>
      <c r="I112">
        <v>22</v>
      </c>
      <c r="J112">
        <v>260</v>
      </c>
      <c r="K112">
        <v>111</v>
      </c>
    </row>
    <row r="113" spans="1:11" x14ac:dyDescent="0.2">
      <c r="A113">
        <v>112</v>
      </c>
      <c r="B113">
        <v>11200</v>
      </c>
      <c r="C113">
        <v>621600</v>
      </c>
      <c r="D113">
        <v>10451</v>
      </c>
      <c r="E113">
        <v>1453</v>
      </c>
      <c r="F113">
        <v>1337</v>
      </c>
      <c r="G113">
        <v>38</v>
      </c>
      <c r="H113">
        <v>11</v>
      </c>
      <c r="I113">
        <v>22</v>
      </c>
      <c r="J113">
        <v>260</v>
      </c>
      <c r="K113">
        <v>112</v>
      </c>
    </row>
    <row r="114" spans="1:11" x14ac:dyDescent="0.2">
      <c r="A114">
        <v>113</v>
      </c>
      <c r="B114">
        <v>11300</v>
      </c>
      <c r="C114">
        <v>632800</v>
      </c>
      <c r="D114">
        <v>10628</v>
      </c>
      <c r="E114">
        <v>1477</v>
      </c>
      <c r="F114">
        <v>1360</v>
      </c>
      <c r="G114">
        <v>38</v>
      </c>
      <c r="H114">
        <v>11</v>
      </c>
      <c r="I114">
        <v>22</v>
      </c>
      <c r="J114">
        <v>260</v>
      </c>
      <c r="K114">
        <v>113</v>
      </c>
    </row>
    <row r="115" spans="1:11" x14ac:dyDescent="0.2">
      <c r="A115">
        <v>114</v>
      </c>
      <c r="B115">
        <v>11400</v>
      </c>
      <c r="C115">
        <v>644100</v>
      </c>
      <c r="D115">
        <v>10807</v>
      </c>
      <c r="E115">
        <v>1501</v>
      </c>
      <c r="F115">
        <v>1383</v>
      </c>
      <c r="G115">
        <v>39</v>
      </c>
      <c r="H115">
        <v>11</v>
      </c>
      <c r="I115">
        <v>22</v>
      </c>
      <c r="J115">
        <v>260</v>
      </c>
      <c r="K115">
        <v>114</v>
      </c>
    </row>
    <row r="116" spans="1:11" x14ac:dyDescent="0.2">
      <c r="A116">
        <v>115</v>
      </c>
      <c r="B116">
        <v>11500</v>
      </c>
      <c r="C116">
        <v>655500</v>
      </c>
      <c r="D116">
        <v>10987</v>
      </c>
      <c r="E116">
        <v>1526</v>
      </c>
      <c r="F116">
        <v>1407</v>
      </c>
      <c r="G116">
        <v>39</v>
      </c>
      <c r="H116">
        <v>11</v>
      </c>
      <c r="I116">
        <v>23</v>
      </c>
      <c r="J116">
        <v>265</v>
      </c>
      <c r="K116">
        <v>115</v>
      </c>
    </row>
    <row r="117" spans="1:11" x14ac:dyDescent="0.2">
      <c r="A117">
        <v>116</v>
      </c>
      <c r="B117">
        <v>11600</v>
      </c>
      <c r="C117">
        <v>667000</v>
      </c>
      <c r="D117">
        <v>11169</v>
      </c>
      <c r="E117">
        <v>1551</v>
      </c>
      <c r="F117">
        <v>1431</v>
      </c>
      <c r="G117">
        <v>39</v>
      </c>
      <c r="H117">
        <v>11</v>
      </c>
      <c r="I117">
        <v>23</v>
      </c>
      <c r="J117">
        <v>265</v>
      </c>
      <c r="K117">
        <v>116</v>
      </c>
    </row>
    <row r="118" spans="1:11" x14ac:dyDescent="0.2">
      <c r="A118">
        <v>117</v>
      </c>
      <c r="B118">
        <v>11700</v>
      </c>
      <c r="C118">
        <v>678600</v>
      </c>
      <c r="D118">
        <v>11352</v>
      </c>
      <c r="E118">
        <v>1576</v>
      </c>
      <c r="F118">
        <v>1455</v>
      </c>
      <c r="G118">
        <v>40</v>
      </c>
      <c r="H118">
        <v>11</v>
      </c>
      <c r="I118">
        <v>23</v>
      </c>
      <c r="J118">
        <v>265</v>
      </c>
      <c r="K118">
        <v>117</v>
      </c>
    </row>
    <row r="119" spans="1:11" x14ac:dyDescent="0.2">
      <c r="A119">
        <v>118</v>
      </c>
      <c r="B119">
        <v>11800</v>
      </c>
      <c r="C119">
        <v>690300</v>
      </c>
      <c r="D119">
        <v>11537</v>
      </c>
      <c r="E119">
        <v>1601</v>
      </c>
      <c r="F119">
        <v>1479</v>
      </c>
      <c r="G119">
        <v>40</v>
      </c>
      <c r="H119">
        <v>11</v>
      </c>
      <c r="I119">
        <v>23</v>
      </c>
      <c r="J119">
        <v>265</v>
      </c>
      <c r="K119">
        <v>118</v>
      </c>
    </row>
    <row r="120" spans="1:11" x14ac:dyDescent="0.2">
      <c r="A120">
        <v>119</v>
      </c>
      <c r="B120">
        <v>11900</v>
      </c>
      <c r="C120">
        <v>702100</v>
      </c>
      <c r="D120">
        <v>11723</v>
      </c>
      <c r="E120">
        <v>1626</v>
      </c>
      <c r="F120">
        <v>1503</v>
      </c>
      <c r="G120">
        <v>40</v>
      </c>
      <c r="H120">
        <v>11</v>
      </c>
      <c r="I120">
        <v>23</v>
      </c>
      <c r="J120">
        <v>265</v>
      </c>
      <c r="K120">
        <v>119</v>
      </c>
    </row>
    <row r="121" spans="1:11" x14ac:dyDescent="0.2">
      <c r="A121">
        <v>120</v>
      </c>
      <c r="B121">
        <v>12000</v>
      </c>
      <c r="C121">
        <v>714000</v>
      </c>
      <c r="D121">
        <v>11911</v>
      </c>
      <c r="E121">
        <v>1652</v>
      </c>
      <c r="F121">
        <v>1528</v>
      </c>
      <c r="G121">
        <v>41</v>
      </c>
      <c r="H121">
        <v>12</v>
      </c>
      <c r="I121">
        <v>24</v>
      </c>
      <c r="J121">
        <v>270</v>
      </c>
      <c r="K121">
        <v>120</v>
      </c>
    </row>
    <row r="122" spans="1:11" x14ac:dyDescent="0.2">
      <c r="A122">
        <v>121</v>
      </c>
      <c r="B122">
        <v>12100</v>
      </c>
      <c r="C122">
        <v>726000</v>
      </c>
      <c r="D122">
        <v>12100</v>
      </c>
      <c r="E122">
        <v>1678</v>
      </c>
      <c r="F122">
        <v>1553</v>
      </c>
      <c r="G122">
        <v>41</v>
      </c>
      <c r="H122">
        <v>12</v>
      </c>
      <c r="I122">
        <v>24</v>
      </c>
      <c r="J122">
        <v>270</v>
      </c>
      <c r="K122">
        <v>121</v>
      </c>
    </row>
    <row r="123" spans="1:11" x14ac:dyDescent="0.2">
      <c r="A123">
        <v>122</v>
      </c>
      <c r="B123">
        <v>12200</v>
      </c>
      <c r="C123">
        <v>738100</v>
      </c>
      <c r="D123">
        <v>12291</v>
      </c>
      <c r="E123">
        <v>1704</v>
      </c>
      <c r="F123">
        <v>1578</v>
      </c>
      <c r="G123">
        <v>41</v>
      </c>
      <c r="H123">
        <v>12</v>
      </c>
      <c r="I123">
        <v>24</v>
      </c>
      <c r="J123">
        <v>270</v>
      </c>
      <c r="K123">
        <v>122</v>
      </c>
    </row>
    <row r="124" spans="1:11" x14ac:dyDescent="0.2">
      <c r="A124">
        <v>123</v>
      </c>
      <c r="B124">
        <v>12300</v>
      </c>
      <c r="C124">
        <v>750300</v>
      </c>
      <c r="D124">
        <v>12483</v>
      </c>
      <c r="E124">
        <v>1730</v>
      </c>
      <c r="F124">
        <v>1603</v>
      </c>
      <c r="G124">
        <v>42</v>
      </c>
      <c r="H124">
        <v>12</v>
      </c>
      <c r="I124">
        <v>24</v>
      </c>
      <c r="J124">
        <v>270</v>
      </c>
      <c r="K124">
        <v>123</v>
      </c>
    </row>
    <row r="125" spans="1:11" x14ac:dyDescent="0.2">
      <c r="A125">
        <v>124</v>
      </c>
      <c r="B125">
        <v>12400</v>
      </c>
      <c r="C125">
        <v>762600</v>
      </c>
      <c r="D125">
        <v>12677</v>
      </c>
      <c r="E125">
        <v>1756</v>
      </c>
      <c r="F125">
        <v>1628</v>
      </c>
      <c r="G125">
        <v>42</v>
      </c>
      <c r="H125">
        <v>12</v>
      </c>
      <c r="I125">
        <v>24</v>
      </c>
      <c r="J125">
        <v>270</v>
      </c>
      <c r="K125">
        <v>124</v>
      </c>
    </row>
    <row r="126" spans="1:11" x14ac:dyDescent="0.2">
      <c r="A126">
        <v>125</v>
      </c>
      <c r="B126">
        <v>12500</v>
      </c>
      <c r="C126">
        <v>775000</v>
      </c>
      <c r="D126">
        <v>12872</v>
      </c>
      <c r="E126">
        <v>1783</v>
      </c>
      <c r="F126">
        <v>1654</v>
      </c>
      <c r="G126">
        <v>42</v>
      </c>
      <c r="H126">
        <v>12</v>
      </c>
      <c r="I126">
        <v>25</v>
      </c>
      <c r="J126">
        <v>275</v>
      </c>
      <c r="K126">
        <v>125</v>
      </c>
    </row>
    <row r="127" spans="1:11" x14ac:dyDescent="0.2">
      <c r="A127">
        <v>126</v>
      </c>
      <c r="B127">
        <v>12600</v>
      </c>
      <c r="C127">
        <v>787500</v>
      </c>
      <c r="D127">
        <v>13069</v>
      </c>
      <c r="E127">
        <v>1810</v>
      </c>
      <c r="F127">
        <v>1680</v>
      </c>
      <c r="G127">
        <v>43</v>
      </c>
      <c r="H127">
        <v>12</v>
      </c>
      <c r="I127">
        <v>25</v>
      </c>
      <c r="J127">
        <v>275</v>
      </c>
      <c r="K127">
        <v>126</v>
      </c>
    </row>
    <row r="128" spans="1:11" x14ac:dyDescent="0.2">
      <c r="A128">
        <v>127</v>
      </c>
      <c r="B128">
        <v>12700</v>
      </c>
      <c r="C128">
        <v>800100</v>
      </c>
      <c r="D128">
        <v>13267</v>
      </c>
      <c r="E128">
        <v>1837</v>
      </c>
      <c r="F128">
        <v>1706</v>
      </c>
      <c r="G128">
        <v>43</v>
      </c>
      <c r="H128">
        <v>12</v>
      </c>
      <c r="I128">
        <v>25</v>
      </c>
      <c r="J128">
        <v>275</v>
      </c>
      <c r="K128">
        <v>127</v>
      </c>
    </row>
    <row r="129" spans="1:11" x14ac:dyDescent="0.2">
      <c r="A129">
        <v>128</v>
      </c>
      <c r="B129">
        <v>12800</v>
      </c>
      <c r="C129">
        <v>812800</v>
      </c>
      <c r="D129">
        <v>13467</v>
      </c>
      <c r="E129">
        <v>1864</v>
      </c>
      <c r="F129">
        <v>1732</v>
      </c>
      <c r="G129">
        <v>43</v>
      </c>
      <c r="H129">
        <v>12</v>
      </c>
      <c r="I129">
        <v>25</v>
      </c>
      <c r="J129">
        <v>275</v>
      </c>
      <c r="K129">
        <v>128</v>
      </c>
    </row>
    <row r="130" spans="1:11" x14ac:dyDescent="0.2">
      <c r="A130">
        <v>129</v>
      </c>
      <c r="B130">
        <v>12900</v>
      </c>
      <c r="C130">
        <v>825600</v>
      </c>
      <c r="D130">
        <v>13668</v>
      </c>
      <c r="E130">
        <v>1891</v>
      </c>
      <c r="F130">
        <v>1758</v>
      </c>
      <c r="G130">
        <v>44</v>
      </c>
      <c r="H130">
        <v>12</v>
      </c>
      <c r="I130">
        <v>25</v>
      </c>
      <c r="J130">
        <v>275</v>
      </c>
      <c r="K130">
        <v>129</v>
      </c>
    </row>
    <row r="131" spans="1:11" x14ac:dyDescent="0.2">
      <c r="A131">
        <v>130</v>
      </c>
      <c r="B131">
        <v>13000</v>
      </c>
      <c r="C131">
        <v>838500</v>
      </c>
      <c r="D131">
        <v>13871</v>
      </c>
      <c r="E131">
        <v>1919</v>
      </c>
      <c r="F131">
        <v>1785</v>
      </c>
      <c r="G131">
        <v>44</v>
      </c>
      <c r="H131">
        <v>13</v>
      </c>
      <c r="I131">
        <v>26</v>
      </c>
      <c r="J131">
        <v>280</v>
      </c>
      <c r="K131">
        <v>130</v>
      </c>
    </row>
    <row r="132" spans="1:11" x14ac:dyDescent="0.2">
      <c r="A132">
        <v>131</v>
      </c>
      <c r="B132">
        <v>13100</v>
      </c>
      <c r="C132">
        <v>851500</v>
      </c>
      <c r="D132">
        <v>14075</v>
      </c>
      <c r="E132">
        <v>1947</v>
      </c>
      <c r="F132">
        <v>1812</v>
      </c>
      <c r="G132">
        <v>44</v>
      </c>
      <c r="H132">
        <v>13</v>
      </c>
      <c r="I132">
        <v>26</v>
      </c>
      <c r="J132">
        <v>280</v>
      </c>
      <c r="K132">
        <v>131</v>
      </c>
    </row>
    <row r="133" spans="1:11" x14ac:dyDescent="0.2">
      <c r="A133">
        <v>132</v>
      </c>
      <c r="B133">
        <v>13200</v>
      </c>
      <c r="C133">
        <v>864600</v>
      </c>
      <c r="D133">
        <v>14281</v>
      </c>
      <c r="E133">
        <v>1975</v>
      </c>
      <c r="F133">
        <v>1839</v>
      </c>
      <c r="G133">
        <v>45</v>
      </c>
      <c r="H133">
        <v>13</v>
      </c>
      <c r="I133">
        <v>26</v>
      </c>
      <c r="J133">
        <v>280</v>
      </c>
      <c r="K133">
        <v>132</v>
      </c>
    </row>
    <row r="134" spans="1:11" x14ac:dyDescent="0.2">
      <c r="A134">
        <v>133</v>
      </c>
      <c r="B134">
        <v>13300</v>
      </c>
      <c r="C134">
        <v>877800</v>
      </c>
      <c r="D134">
        <v>14488</v>
      </c>
      <c r="E134">
        <v>2003</v>
      </c>
      <c r="F134">
        <v>1866</v>
      </c>
      <c r="G134">
        <v>45</v>
      </c>
      <c r="H134">
        <v>13</v>
      </c>
      <c r="I134">
        <v>26</v>
      </c>
      <c r="J134">
        <v>280</v>
      </c>
      <c r="K134">
        <v>133</v>
      </c>
    </row>
    <row r="135" spans="1:11" x14ac:dyDescent="0.2">
      <c r="A135">
        <v>134</v>
      </c>
      <c r="B135">
        <v>13400</v>
      </c>
      <c r="C135">
        <v>891100</v>
      </c>
      <c r="D135">
        <v>14697</v>
      </c>
      <c r="E135">
        <v>2031</v>
      </c>
      <c r="F135">
        <v>1893</v>
      </c>
      <c r="G135">
        <v>45</v>
      </c>
      <c r="H135">
        <v>13</v>
      </c>
      <c r="I135">
        <v>26</v>
      </c>
      <c r="J135">
        <v>280</v>
      </c>
      <c r="K135">
        <v>134</v>
      </c>
    </row>
    <row r="136" spans="1:11" x14ac:dyDescent="0.2">
      <c r="A136">
        <v>135</v>
      </c>
      <c r="B136">
        <v>13500</v>
      </c>
      <c r="C136">
        <v>904500</v>
      </c>
      <c r="D136">
        <v>14907</v>
      </c>
      <c r="E136">
        <v>2060</v>
      </c>
      <c r="F136">
        <v>1921</v>
      </c>
      <c r="G136">
        <v>46</v>
      </c>
      <c r="H136">
        <v>13</v>
      </c>
      <c r="I136">
        <v>27</v>
      </c>
      <c r="J136">
        <v>285</v>
      </c>
      <c r="K136">
        <v>135</v>
      </c>
    </row>
    <row r="137" spans="1:11" x14ac:dyDescent="0.2">
      <c r="A137">
        <v>136</v>
      </c>
      <c r="B137">
        <v>13600</v>
      </c>
      <c r="C137">
        <v>918000</v>
      </c>
      <c r="D137">
        <v>15119</v>
      </c>
      <c r="E137">
        <v>2089</v>
      </c>
      <c r="F137">
        <v>1949</v>
      </c>
      <c r="G137">
        <v>46</v>
      </c>
      <c r="H137">
        <v>13</v>
      </c>
      <c r="I137">
        <v>27</v>
      </c>
      <c r="J137">
        <v>285</v>
      </c>
      <c r="K137">
        <v>136</v>
      </c>
    </row>
    <row r="138" spans="1:11" x14ac:dyDescent="0.2">
      <c r="A138">
        <v>137</v>
      </c>
      <c r="B138">
        <v>13700</v>
      </c>
      <c r="C138">
        <v>931600</v>
      </c>
      <c r="D138">
        <v>15332</v>
      </c>
      <c r="E138">
        <v>2118</v>
      </c>
      <c r="F138">
        <v>1977</v>
      </c>
      <c r="G138">
        <v>46</v>
      </c>
      <c r="H138">
        <v>13</v>
      </c>
      <c r="I138">
        <v>27</v>
      </c>
      <c r="J138">
        <v>285</v>
      </c>
      <c r="K138">
        <v>137</v>
      </c>
    </row>
    <row r="139" spans="1:11" x14ac:dyDescent="0.2">
      <c r="A139">
        <v>138</v>
      </c>
      <c r="B139">
        <v>13800</v>
      </c>
      <c r="C139">
        <v>945300</v>
      </c>
      <c r="D139">
        <v>15547</v>
      </c>
      <c r="E139">
        <v>2147</v>
      </c>
      <c r="F139">
        <v>2005</v>
      </c>
      <c r="G139">
        <v>47</v>
      </c>
      <c r="H139">
        <v>13</v>
      </c>
      <c r="I139">
        <v>27</v>
      </c>
      <c r="J139">
        <v>285</v>
      </c>
      <c r="K139">
        <v>138</v>
      </c>
    </row>
    <row r="140" spans="1:11" x14ac:dyDescent="0.2">
      <c r="A140">
        <v>139</v>
      </c>
      <c r="B140">
        <v>13900</v>
      </c>
      <c r="C140">
        <v>959100</v>
      </c>
      <c r="D140">
        <v>15763</v>
      </c>
      <c r="E140">
        <v>2176</v>
      </c>
      <c r="F140">
        <v>2033</v>
      </c>
      <c r="G140">
        <v>47</v>
      </c>
      <c r="H140">
        <v>13</v>
      </c>
      <c r="I140">
        <v>27</v>
      </c>
      <c r="J140">
        <v>285</v>
      </c>
      <c r="K140">
        <v>139</v>
      </c>
    </row>
    <row r="141" spans="1:11" x14ac:dyDescent="0.2">
      <c r="A141">
        <v>140</v>
      </c>
      <c r="B141">
        <v>14000</v>
      </c>
      <c r="C141">
        <v>973000</v>
      </c>
      <c r="D141">
        <v>15981</v>
      </c>
      <c r="E141">
        <v>2206</v>
      </c>
      <c r="F141">
        <v>2062</v>
      </c>
      <c r="G141">
        <v>47</v>
      </c>
      <c r="H141">
        <v>14</v>
      </c>
      <c r="I141">
        <v>28</v>
      </c>
      <c r="J141">
        <v>290</v>
      </c>
      <c r="K141">
        <v>140</v>
      </c>
    </row>
    <row r="142" spans="1:11" x14ac:dyDescent="0.2">
      <c r="A142">
        <v>141</v>
      </c>
      <c r="B142">
        <v>14100</v>
      </c>
      <c r="C142">
        <v>987000</v>
      </c>
      <c r="D142">
        <v>16200</v>
      </c>
      <c r="E142">
        <v>2236</v>
      </c>
      <c r="F142">
        <v>2091</v>
      </c>
      <c r="G142">
        <v>48</v>
      </c>
      <c r="H142">
        <v>14</v>
      </c>
      <c r="I142">
        <v>28</v>
      </c>
      <c r="J142">
        <v>290</v>
      </c>
      <c r="K142">
        <v>141</v>
      </c>
    </row>
    <row r="143" spans="1:11" x14ac:dyDescent="0.2">
      <c r="A143">
        <v>142</v>
      </c>
      <c r="B143">
        <v>14200</v>
      </c>
      <c r="C143">
        <v>1001100</v>
      </c>
      <c r="D143">
        <v>16421</v>
      </c>
      <c r="E143">
        <v>2266</v>
      </c>
      <c r="F143">
        <v>2120</v>
      </c>
      <c r="G143">
        <v>48</v>
      </c>
      <c r="H143">
        <v>14</v>
      </c>
      <c r="I143">
        <v>28</v>
      </c>
      <c r="J143">
        <v>290</v>
      </c>
      <c r="K143">
        <v>142</v>
      </c>
    </row>
    <row r="144" spans="1:11" x14ac:dyDescent="0.2">
      <c r="A144">
        <v>143</v>
      </c>
      <c r="B144">
        <v>14300</v>
      </c>
      <c r="C144">
        <v>1015300</v>
      </c>
      <c r="D144">
        <v>16643</v>
      </c>
      <c r="E144">
        <v>2296</v>
      </c>
      <c r="F144">
        <v>2149</v>
      </c>
      <c r="G144">
        <v>48</v>
      </c>
      <c r="H144">
        <v>14</v>
      </c>
      <c r="I144">
        <v>28</v>
      </c>
      <c r="J144">
        <v>290</v>
      </c>
      <c r="K144">
        <v>143</v>
      </c>
    </row>
    <row r="145" spans="1:11" x14ac:dyDescent="0.2">
      <c r="A145">
        <v>144</v>
      </c>
      <c r="B145">
        <v>14400</v>
      </c>
      <c r="C145">
        <v>1029600</v>
      </c>
      <c r="D145">
        <v>16867</v>
      </c>
      <c r="E145">
        <v>2326</v>
      </c>
      <c r="F145">
        <v>2178</v>
      </c>
      <c r="G145">
        <v>49</v>
      </c>
      <c r="H145">
        <v>14</v>
      </c>
      <c r="I145">
        <v>28</v>
      </c>
      <c r="J145">
        <v>290</v>
      </c>
      <c r="K145">
        <v>144</v>
      </c>
    </row>
    <row r="146" spans="1:11" x14ac:dyDescent="0.2">
      <c r="A146">
        <v>145</v>
      </c>
      <c r="B146">
        <v>14500</v>
      </c>
      <c r="C146">
        <v>1044000</v>
      </c>
      <c r="D146">
        <v>17092</v>
      </c>
      <c r="E146">
        <v>2357</v>
      </c>
      <c r="F146">
        <v>2208</v>
      </c>
      <c r="G146">
        <v>49</v>
      </c>
      <c r="H146">
        <v>14</v>
      </c>
      <c r="I146">
        <v>29</v>
      </c>
      <c r="J146">
        <v>295</v>
      </c>
      <c r="K146">
        <v>145</v>
      </c>
    </row>
    <row r="147" spans="1:11" x14ac:dyDescent="0.2">
      <c r="A147">
        <v>146</v>
      </c>
      <c r="B147">
        <v>14600</v>
      </c>
      <c r="C147">
        <v>1058500</v>
      </c>
      <c r="D147">
        <v>17319</v>
      </c>
      <c r="E147">
        <v>2388</v>
      </c>
      <c r="F147">
        <v>2238</v>
      </c>
      <c r="G147">
        <v>49</v>
      </c>
      <c r="H147">
        <v>14</v>
      </c>
      <c r="I147">
        <v>29</v>
      </c>
      <c r="J147">
        <v>295</v>
      </c>
      <c r="K147">
        <v>146</v>
      </c>
    </row>
    <row r="148" spans="1:11" x14ac:dyDescent="0.2">
      <c r="A148">
        <v>147</v>
      </c>
      <c r="B148">
        <v>14700</v>
      </c>
      <c r="C148">
        <v>1073100</v>
      </c>
      <c r="D148">
        <v>17547</v>
      </c>
      <c r="E148">
        <v>2419</v>
      </c>
      <c r="F148">
        <v>2268</v>
      </c>
      <c r="G148">
        <v>50</v>
      </c>
      <c r="H148">
        <v>14</v>
      </c>
      <c r="I148">
        <v>29</v>
      </c>
      <c r="J148">
        <v>295</v>
      </c>
      <c r="K148">
        <v>147</v>
      </c>
    </row>
    <row r="149" spans="1:11" x14ac:dyDescent="0.2">
      <c r="A149">
        <v>148</v>
      </c>
      <c r="B149">
        <v>14800</v>
      </c>
      <c r="C149">
        <v>1087800</v>
      </c>
      <c r="D149">
        <v>17777</v>
      </c>
      <c r="E149">
        <v>2450</v>
      </c>
      <c r="F149">
        <v>2298</v>
      </c>
      <c r="G149">
        <v>50</v>
      </c>
      <c r="H149">
        <v>14</v>
      </c>
      <c r="I149">
        <v>29</v>
      </c>
      <c r="J149">
        <v>295</v>
      </c>
      <c r="K149">
        <v>148</v>
      </c>
    </row>
    <row r="150" spans="1:11" x14ac:dyDescent="0.2">
      <c r="A150">
        <v>149</v>
      </c>
      <c r="B150">
        <v>14900</v>
      </c>
      <c r="C150">
        <v>1102600</v>
      </c>
      <c r="D150">
        <v>18008</v>
      </c>
      <c r="E150">
        <v>2481</v>
      </c>
      <c r="F150">
        <v>2328</v>
      </c>
      <c r="G150">
        <v>50</v>
      </c>
      <c r="H150">
        <v>14</v>
      </c>
      <c r="I150">
        <v>29</v>
      </c>
      <c r="J150">
        <v>295</v>
      </c>
      <c r="K150">
        <v>149</v>
      </c>
    </row>
    <row r="151" spans="1:11" x14ac:dyDescent="0.2">
      <c r="A151">
        <v>150</v>
      </c>
      <c r="B151">
        <v>15000</v>
      </c>
      <c r="C151">
        <v>1117500</v>
      </c>
      <c r="D151">
        <v>18241</v>
      </c>
      <c r="E151">
        <v>2513</v>
      </c>
      <c r="F151">
        <v>2359</v>
      </c>
      <c r="G151">
        <v>51</v>
      </c>
      <c r="H151">
        <v>15</v>
      </c>
      <c r="I151">
        <v>30</v>
      </c>
      <c r="J151">
        <v>300</v>
      </c>
      <c r="K151">
        <v>150</v>
      </c>
    </row>
  </sheetData>
  <pageMargins left="0.7" right="0.7" top="0.75" bottom="0.75" header="0.3" footer="0.3"/>
  <ignoredErrors>
    <ignoredError sqref="A1:K15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baseColWidth="10" defaultRowHeight="16" x14ac:dyDescent="0.2"/>
  <cols>
    <col min="1" max="1" width="24.83203125" customWidth="1"/>
    <col min="2" max="2" width="14.83203125" customWidth="1"/>
    <col min="3" max="3" width="10.83203125" customWidth="1"/>
    <col min="4" max="5" width="16.83203125" customWidth="1"/>
  </cols>
  <sheetData>
    <row r="1" spans="1:5" x14ac:dyDescent="0.2">
      <c r="A1" t="s">
        <v>0</v>
      </c>
      <c r="B1" t="s">
        <v>1</v>
      </c>
      <c r="C1" t="s">
        <v>183</v>
      </c>
      <c r="D1" t="s">
        <v>184</v>
      </c>
      <c r="E1" t="s">
        <v>185</v>
      </c>
    </row>
    <row r="2" spans="1:5" x14ac:dyDescent="0.2">
      <c r="A2" t="s">
        <v>186</v>
      </c>
      <c r="B2" t="s">
        <v>187</v>
      </c>
      <c r="C2">
        <v>100</v>
      </c>
      <c r="D2" t="s">
        <v>188</v>
      </c>
      <c r="E2">
        <v>200</v>
      </c>
    </row>
    <row r="3" spans="1:5" x14ac:dyDescent="0.2">
      <c r="A3" t="s">
        <v>189</v>
      </c>
      <c r="B3" t="s">
        <v>187</v>
      </c>
      <c r="C3">
        <v>500</v>
      </c>
      <c r="D3" t="s">
        <v>188</v>
      </c>
      <c r="E3">
        <v>1000</v>
      </c>
    </row>
    <row r="4" spans="1:5" x14ac:dyDescent="0.2">
      <c r="A4" t="s">
        <v>190</v>
      </c>
      <c r="B4" t="s">
        <v>187</v>
      </c>
      <c r="C4">
        <v>1000</v>
      </c>
      <c r="D4" t="s">
        <v>191</v>
      </c>
      <c r="E4">
        <v>500</v>
      </c>
    </row>
    <row r="5" spans="1:5" x14ac:dyDescent="0.2">
      <c r="A5" t="s">
        <v>192</v>
      </c>
      <c r="B5" t="s">
        <v>193</v>
      </c>
      <c r="C5">
        <v>3</v>
      </c>
      <c r="D5" t="s">
        <v>188</v>
      </c>
      <c r="E5">
        <v>500</v>
      </c>
    </row>
    <row r="6" spans="1:5" x14ac:dyDescent="0.2">
      <c r="A6" t="s">
        <v>194</v>
      </c>
      <c r="B6" t="s">
        <v>193</v>
      </c>
      <c r="C6">
        <v>10</v>
      </c>
      <c r="D6" t="s">
        <v>188</v>
      </c>
      <c r="E6">
        <v>2000</v>
      </c>
    </row>
    <row r="7" spans="1:5" x14ac:dyDescent="0.2">
      <c r="A7" t="s">
        <v>195</v>
      </c>
      <c r="B7" t="s">
        <v>193</v>
      </c>
      <c r="C7">
        <v>20</v>
      </c>
      <c r="D7" t="s">
        <v>191</v>
      </c>
      <c r="E7">
        <v>1000</v>
      </c>
    </row>
    <row r="8" spans="1:5" x14ac:dyDescent="0.2">
      <c r="A8" t="s">
        <v>196</v>
      </c>
      <c r="B8" t="s">
        <v>197</v>
      </c>
      <c r="C8">
        <v>1</v>
      </c>
      <c r="D8" t="s">
        <v>188</v>
      </c>
      <c r="E8">
        <v>800</v>
      </c>
    </row>
    <row r="9" spans="1:5" x14ac:dyDescent="0.2">
      <c r="A9" t="s">
        <v>198</v>
      </c>
      <c r="B9" t="s">
        <v>197</v>
      </c>
      <c r="C9">
        <v>3</v>
      </c>
      <c r="D9" t="s">
        <v>188</v>
      </c>
      <c r="E9">
        <v>3000</v>
      </c>
    </row>
    <row r="10" spans="1:5" x14ac:dyDescent="0.2">
      <c r="A10" t="s">
        <v>199</v>
      </c>
      <c r="B10" t="s">
        <v>200</v>
      </c>
      <c r="C10">
        <v>5000</v>
      </c>
      <c r="D10" t="s">
        <v>191</v>
      </c>
      <c r="E10">
        <v>300</v>
      </c>
    </row>
    <row r="11" spans="1:5" x14ac:dyDescent="0.2">
      <c r="A11" t="s">
        <v>201</v>
      </c>
      <c r="B11" t="s">
        <v>200</v>
      </c>
      <c r="C11">
        <v>20000</v>
      </c>
      <c r="D11" t="s">
        <v>188</v>
      </c>
      <c r="E11">
        <v>5000</v>
      </c>
    </row>
    <row r="12" spans="1:5" x14ac:dyDescent="0.2">
      <c r="A12" t="s">
        <v>202</v>
      </c>
      <c r="B12" t="s">
        <v>203</v>
      </c>
      <c r="C12">
        <v>1</v>
      </c>
      <c r="D12" t="s">
        <v>188</v>
      </c>
      <c r="E12">
        <v>1000</v>
      </c>
    </row>
    <row r="13" spans="1:5" x14ac:dyDescent="0.2">
      <c r="A13" t="s">
        <v>204</v>
      </c>
      <c r="B13" t="s">
        <v>203</v>
      </c>
      <c r="C13">
        <v>3</v>
      </c>
      <c r="D13" t="s">
        <v>188</v>
      </c>
      <c r="E13">
        <v>5000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/>
  </sheetViews>
  <sheetFormatPr baseColWidth="10" defaultRowHeight="16" x14ac:dyDescent="0.2"/>
  <cols>
    <col min="1" max="1" width="6.83203125" customWidth="1"/>
    <col min="2" max="2" width="14.83203125" customWidth="1"/>
    <col min="3" max="3" width="10.83203125" customWidth="1"/>
    <col min="4" max="4" width="12.83203125" customWidth="1"/>
  </cols>
  <sheetData>
    <row r="1" spans="1:4" x14ac:dyDescent="0.2">
      <c r="A1" t="s">
        <v>91</v>
      </c>
      <c r="B1" t="s">
        <v>205</v>
      </c>
      <c r="C1" t="s">
        <v>206</v>
      </c>
      <c r="D1" t="s">
        <v>207</v>
      </c>
    </row>
    <row r="2" spans="1:4" x14ac:dyDescent="0.2">
      <c r="A2">
        <v>1</v>
      </c>
      <c r="B2">
        <v>1</v>
      </c>
      <c r="C2">
        <v>1</v>
      </c>
      <c r="D2">
        <v>1</v>
      </c>
    </row>
    <row r="3" spans="1:4" x14ac:dyDescent="0.2">
      <c r="A3">
        <v>2</v>
      </c>
      <c r="B3">
        <v>5</v>
      </c>
      <c r="C3">
        <v>1</v>
      </c>
      <c r="D3">
        <v>2</v>
      </c>
    </row>
    <row r="4" spans="1:4" x14ac:dyDescent="0.2">
      <c r="A4">
        <v>3</v>
      </c>
      <c r="B4">
        <v>12</v>
      </c>
      <c r="C4">
        <v>1</v>
      </c>
      <c r="D4">
        <v>3</v>
      </c>
    </row>
    <row r="5" spans="1:4" x14ac:dyDescent="0.2">
      <c r="A5">
        <v>4</v>
      </c>
      <c r="B5">
        <v>20</v>
      </c>
      <c r="C5">
        <v>1</v>
      </c>
      <c r="D5">
        <v>4</v>
      </c>
    </row>
    <row r="6" spans="1:4" x14ac:dyDescent="0.2">
      <c r="A6">
        <v>5</v>
      </c>
      <c r="B6">
        <v>30</v>
      </c>
      <c r="C6">
        <v>1</v>
      </c>
      <c r="D6">
        <v>5</v>
      </c>
    </row>
    <row r="7" spans="1:4" x14ac:dyDescent="0.2">
      <c r="A7">
        <v>6</v>
      </c>
      <c r="B7">
        <v>38</v>
      </c>
      <c r="C7">
        <v>2</v>
      </c>
      <c r="D7">
        <v>7</v>
      </c>
    </row>
    <row r="8" spans="1:4" x14ac:dyDescent="0.2">
      <c r="A8">
        <v>7</v>
      </c>
      <c r="B8">
        <v>46</v>
      </c>
      <c r="C8">
        <v>2</v>
      </c>
      <c r="D8">
        <v>9</v>
      </c>
    </row>
    <row r="9" spans="1:4" x14ac:dyDescent="0.2">
      <c r="A9">
        <v>8</v>
      </c>
      <c r="B9">
        <v>54</v>
      </c>
      <c r="C9">
        <v>2</v>
      </c>
      <c r="D9">
        <v>11</v>
      </c>
    </row>
    <row r="10" spans="1:4" x14ac:dyDescent="0.2">
      <c r="A10">
        <v>9</v>
      </c>
      <c r="B10">
        <v>62</v>
      </c>
      <c r="C10">
        <v>2</v>
      </c>
      <c r="D10">
        <v>13</v>
      </c>
    </row>
    <row r="11" spans="1:4" x14ac:dyDescent="0.2">
      <c r="A11">
        <v>10</v>
      </c>
      <c r="B11">
        <v>70</v>
      </c>
      <c r="C11">
        <v>2</v>
      </c>
      <c r="D11">
        <v>15</v>
      </c>
    </row>
    <row r="12" spans="1:4" x14ac:dyDescent="0.2">
      <c r="A12">
        <v>11</v>
      </c>
      <c r="B12">
        <v>76</v>
      </c>
      <c r="C12">
        <v>3</v>
      </c>
      <c r="D12">
        <v>18</v>
      </c>
    </row>
    <row r="13" spans="1:4" x14ac:dyDescent="0.2">
      <c r="A13">
        <v>12</v>
      </c>
      <c r="B13">
        <v>82</v>
      </c>
      <c r="C13">
        <v>3</v>
      </c>
      <c r="D13">
        <v>21</v>
      </c>
    </row>
    <row r="14" spans="1:4" x14ac:dyDescent="0.2">
      <c r="A14">
        <v>13</v>
      </c>
      <c r="B14">
        <v>88</v>
      </c>
      <c r="C14">
        <v>3</v>
      </c>
      <c r="D14">
        <v>24</v>
      </c>
    </row>
    <row r="15" spans="1:4" x14ac:dyDescent="0.2">
      <c r="A15">
        <v>14</v>
      </c>
      <c r="B15">
        <v>94</v>
      </c>
      <c r="C15">
        <v>3</v>
      </c>
      <c r="D15">
        <v>27</v>
      </c>
    </row>
    <row r="16" spans="1:4" x14ac:dyDescent="0.2">
      <c r="A16">
        <v>15</v>
      </c>
      <c r="B16">
        <v>100</v>
      </c>
      <c r="C16">
        <v>3</v>
      </c>
      <c r="D16">
        <v>30</v>
      </c>
    </row>
    <row r="17" spans="1:4" x14ac:dyDescent="0.2">
      <c r="A17">
        <v>16</v>
      </c>
      <c r="B17">
        <v>110</v>
      </c>
      <c r="C17">
        <v>5</v>
      </c>
      <c r="D17">
        <v>35</v>
      </c>
    </row>
    <row r="18" spans="1:4" x14ac:dyDescent="0.2">
      <c r="A18">
        <v>17</v>
      </c>
      <c r="B18">
        <v>120</v>
      </c>
      <c r="C18">
        <v>5</v>
      </c>
      <c r="D18">
        <v>40</v>
      </c>
    </row>
    <row r="19" spans="1:4" x14ac:dyDescent="0.2">
      <c r="A19">
        <v>18</v>
      </c>
      <c r="B19">
        <v>130</v>
      </c>
      <c r="C19">
        <v>5</v>
      </c>
      <c r="D19">
        <v>45</v>
      </c>
    </row>
    <row r="20" spans="1:4" x14ac:dyDescent="0.2">
      <c r="A20">
        <v>19</v>
      </c>
      <c r="B20">
        <v>140</v>
      </c>
      <c r="C20">
        <v>5</v>
      </c>
      <c r="D20">
        <v>50</v>
      </c>
    </row>
    <row r="21" spans="1:4" x14ac:dyDescent="0.2">
      <c r="A21">
        <v>20</v>
      </c>
      <c r="B21">
        <v>150</v>
      </c>
      <c r="C21">
        <v>5</v>
      </c>
      <c r="D21">
        <v>55</v>
      </c>
    </row>
  </sheetData>
  <pageMargins left="0.7" right="0.7" top="0.75" bottom="0.75" header="0.3" footer="0.3"/>
  <ignoredErrors>
    <ignoredError sqref="A1:D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workbookViewId="0"/>
  </sheetViews>
  <sheetFormatPr baseColWidth="10" defaultRowHeight="16" x14ac:dyDescent="0.2"/>
  <cols>
    <col min="1" max="1" width="14.83203125" customWidth="1"/>
    <col min="2" max="2" width="20.83203125" customWidth="1"/>
    <col min="3" max="3" width="10.83203125" customWidth="1"/>
    <col min="4" max="4" width="16.83203125" customWidth="1"/>
    <col min="5" max="5" width="8.83203125" customWidth="1"/>
    <col min="6" max="6" width="14.83203125" customWidth="1"/>
    <col min="7" max="7" width="16.83203125" customWidth="1"/>
  </cols>
  <sheetData>
    <row r="1" spans="1:7" x14ac:dyDescent="0.2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</row>
    <row r="2" spans="1:7" x14ac:dyDescent="0.2">
      <c r="A2" t="s">
        <v>215</v>
      </c>
      <c r="B2" t="s">
        <v>216</v>
      </c>
      <c r="C2">
        <v>3</v>
      </c>
      <c r="D2" t="s">
        <v>217</v>
      </c>
      <c r="E2">
        <v>50</v>
      </c>
      <c r="F2">
        <v>2</v>
      </c>
      <c r="G2">
        <v>4</v>
      </c>
    </row>
    <row r="3" spans="1:7" x14ac:dyDescent="0.2">
      <c r="A3" t="s">
        <v>215</v>
      </c>
      <c r="B3" t="s">
        <v>218</v>
      </c>
      <c r="C3">
        <v>7</v>
      </c>
      <c r="D3" t="s">
        <v>219</v>
      </c>
      <c r="E3">
        <v>150</v>
      </c>
      <c r="F3">
        <v>0</v>
      </c>
      <c r="G3">
        <v>3</v>
      </c>
    </row>
    <row r="4" spans="1:7" x14ac:dyDescent="0.2">
      <c r="A4" t="s">
        <v>215</v>
      </c>
      <c r="B4" t="s">
        <v>220</v>
      </c>
      <c r="C4">
        <v>12</v>
      </c>
      <c r="D4" t="s">
        <v>221</v>
      </c>
      <c r="E4">
        <v>120</v>
      </c>
      <c r="F4">
        <v>0</v>
      </c>
      <c r="G4">
        <v>4</v>
      </c>
    </row>
    <row r="5" spans="1:7" x14ac:dyDescent="0.2">
      <c r="A5" t="s">
        <v>215</v>
      </c>
      <c r="B5" t="s">
        <v>222</v>
      </c>
      <c r="C5">
        <v>18</v>
      </c>
      <c r="D5" t="s">
        <v>223</v>
      </c>
      <c r="E5">
        <v>200</v>
      </c>
      <c r="F5">
        <v>1</v>
      </c>
      <c r="G5">
        <v>5</v>
      </c>
    </row>
    <row r="6" spans="1:7" x14ac:dyDescent="0.2">
      <c r="A6" t="s">
        <v>224</v>
      </c>
      <c r="B6" t="s">
        <v>225</v>
      </c>
      <c r="C6">
        <v>3</v>
      </c>
      <c r="D6" t="s">
        <v>226</v>
      </c>
      <c r="E6">
        <v>0</v>
      </c>
      <c r="F6">
        <v>1</v>
      </c>
      <c r="G6">
        <v>3</v>
      </c>
    </row>
    <row r="7" spans="1:7" x14ac:dyDescent="0.2">
      <c r="A7" t="s">
        <v>224</v>
      </c>
      <c r="B7" t="s">
        <v>227</v>
      </c>
      <c r="C7">
        <v>7</v>
      </c>
      <c r="D7" t="s">
        <v>228</v>
      </c>
      <c r="E7">
        <v>80</v>
      </c>
      <c r="F7">
        <v>0</v>
      </c>
      <c r="G7">
        <v>3</v>
      </c>
    </row>
    <row r="8" spans="1:7" x14ac:dyDescent="0.2">
      <c r="A8" t="s">
        <v>224</v>
      </c>
      <c r="B8" t="s">
        <v>229</v>
      </c>
      <c r="C8">
        <v>12</v>
      </c>
      <c r="D8" t="s">
        <v>223</v>
      </c>
      <c r="E8">
        <v>100</v>
      </c>
      <c r="F8">
        <v>1</v>
      </c>
      <c r="G8">
        <v>4</v>
      </c>
    </row>
    <row r="9" spans="1:7" x14ac:dyDescent="0.2">
      <c r="A9" t="s">
        <v>224</v>
      </c>
      <c r="B9" t="s">
        <v>230</v>
      </c>
      <c r="C9">
        <v>18</v>
      </c>
      <c r="D9" t="s">
        <v>231</v>
      </c>
      <c r="E9">
        <v>40</v>
      </c>
      <c r="F9">
        <v>0</v>
      </c>
      <c r="G9">
        <v>5</v>
      </c>
    </row>
    <row r="10" spans="1:7" x14ac:dyDescent="0.2">
      <c r="A10" t="s">
        <v>232</v>
      </c>
      <c r="B10" t="s">
        <v>233</v>
      </c>
      <c r="C10">
        <v>3</v>
      </c>
      <c r="D10" t="s">
        <v>234</v>
      </c>
      <c r="E10">
        <v>0</v>
      </c>
      <c r="F10">
        <v>0</v>
      </c>
      <c r="G10">
        <v>3</v>
      </c>
    </row>
    <row r="11" spans="1:7" x14ac:dyDescent="0.2">
      <c r="A11" t="s">
        <v>232</v>
      </c>
      <c r="B11" t="s">
        <v>235</v>
      </c>
      <c r="C11">
        <v>7</v>
      </c>
      <c r="D11" t="s">
        <v>236</v>
      </c>
      <c r="E11">
        <v>130</v>
      </c>
      <c r="F11">
        <v>3</v>
      </c>
      <c r="G11">
        <v>4</v>
      </c>
    </row>
    <row r="12" spans="1:7" x14ac:dyDescent="0.2">
      <c r="A12" t="s">
        <v>232</v>
      </c>
      <c r="B12" t="s">
        <v>237</v>
      </c>
      <c r="C12">
        <v>12</v>
      </c>
      <c r="D12" t="s">
        <v>238</v>
      </c>
      <c r="E12">
        <v>0</v>
      </c>
      <c r="F12">
        <v>1</v>
      </c>
      <c r="G12">
        <v>5</v>
      </c>
    </row>
    <row r="13" spans="1:7" x14ac:dyDescent="0.2">
      <c r="A13" t="s">
        <v>232</v>
      </c>
      <c r="B13" t="s">
        <v>239</v>
      </c>
      <c r="C13">
        <v>18</v>
      </c>
      <c r="D13" t="s">
        <v>240</v>
      </c>
      <c r="E13">
        <v>300</v>
      </c>
      <c r="F13">
        <v>0</v>
      </c>
      <c r="G13">
        <v>6</v>
      </c>
    </row>
    <row r="14" spans="1:7" x14ac:dyDescent="0.2">
      <c r="A14" t="s">
        <v>241</v>
      </c>
      <c r="B14" t="s">
        <v>242</v>
      </c>
      <c r="C14">
        <v>3</v>
      </c>
      <c r="D14" t="s">
        <v>243</v>
      </c>
      <c r="E14">
        <v>40</v>
      </c>
      <c r="F14">
        <v>3</v>
      </c>
      <c r="G14">
        <v>4</v>
      </c>
    </row>
    <row r="15" spans="1:7" x14ac:dyDescent="0.2">
      <c r="A15" t="s">
        <v>241</v>
      </c>
      <c r="B15" t="s">
        <v>244</v>
      </c>
      <c r="C15">
        <v>7</v>
      </c>
      <c r="D15" t="s">
        <v>231</v>
      </c>
      <c r="E15">
        <v>30</v>
      </c>
      <c r="F15">
        <v>0</v>
      </c>
      <c r="G15">
        <v>4</v>
      </c>
    </row>
    <row r="16" spans="1:7" x14ac:dyDescent="0.2">
      <c r="A16" t="s">
        <v>241</v>
      </c>
      <c r="B16" t="s">
        <v>245</v>
      </c>
      <c r="C16">
        <v>12</v>
      </c>
      <c r="D16" t="s">
        <v>246</v>
      </c>
      <c r="E16">
        <v>50</v>
      </c>
      <c r="F16">
        <v>2</v>
      </c>
      <c r="G16">
        <v>4</v>
      </c>
    </row>
    <row r="17" spans="1:7" x14ac:dyDescent="0.2">
      <c r="A17" t="s">
        <v>241</v>
      </c>
      <c r="B17" t="s">
        <v>247</v>
      </c>
      <c r="C17">
        <v>18</v>
      </c>
      <c r="D17" t="s">
        <v>248</v>
      </c>
      <c r="E17">
        <v>50</v>
      </c>
      <c r="F17">
        <v>3</v>
      </c>
      <c r="G17">
        <v>6</v>
      </c>
    </row>
  </sheetData>
  <pageMargins left="0.7" right="0.7" top="0.75" bottom="0.75" header="0.3" footer="0.3"/>
  <ignoredErrors>
    <ignoredError sqref="A1:G1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8278-4E0A-084C-B382-FB61D72C6834}">
  <sheetPr>
    <tabColor rgb="FFFF6600"/>
  </sheetPr>
  <dimension ref="A1:AF158"/>
  <sheetViews>
    <sheetView tabSelected="1" workbookViewId="0">
      <selection sqref="A1:N1"/>
    </sheetView>
  </sheetViews>
  <sheetFormatPr baseColWidth="10" defaultRowHeight="16" x14ac:dyDescent="0.2"/>
  <cols>
    <col min="1" max="1" width="26.6640625" customWidth="1"/>
    <col min="2" max="2" width="12.5" customWidth="1"/>
    <col min="3" max="5" width="16.6640625" customWidth="1"/>
    <col min="6" max="6" width="12.5" customWidth="1"/>
    <col min="7" max="7" width="16.6640625" customWidth="1"/>
    <col min="8" max="8" width="18.33203125" customWidth="1"/>
    <col min="9" max="9" width="16.6640625" customWidth="1"/>
    <col min="10" max="10" width="18.33203125" customWidth="1"/>
    <col min="11" max="12" width="16.6640625" customWidth="1"/>
    <col min="13" max="13" width="18.33203125" customWidth="1"/>
    <col min="14" max="14" width="16.6640625" customWidth="1"/>
    <col min="16" max="20" width="0" hidden="1" customWidth="1"/>
    <col min="22" max="28" width="0" hidden="1" customWidth="1"/>
    <col min="30" max="32" width="0" hidden="1" customWidth="1"/>
  </cols>
  <sheetData>
    <row r="1" spans="1:32" ht="40" customHeight="1" x14ac:dyDescent="0.3">
      <c r="A1" s="2" t="s">
        <v>249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t="s">
        <v>176</v>
      </c>
      <c r="Q1" t="s">
        <v>312</v>
      </c>
      <c r="R1" t="s">
        <v>313</v>
      </c>
      <c r="S1" t="s">
        <v>366</v>
      </c>
      <c r="T1" t="s">
        <v>367</v>
      </c>
      <c r="V1" t="s">
        <v>176</v>
      </c>
      <c r="W1" t="s">
        <v>312</v>
      </c>
      <c r="X1" t="s">
        <v>368</v>
      </c>
      <c r="Z1" t="s">
        <v>176</v>
      </c>
      <c r="AA1" t="s">
        <v>313</v>
      </c>
      <c r="AB1" t="s">
        <v>369</v>
      </c>
      <c r="AD1" t="s">
        <v>2</v>
      </c>
      <c r="AE1" t="s">
        <v>264</v>
      </c>
      <c r="AF1" t="s">
        <v>265</v>
      </c>
    </row>
    <row r="2" spans="1:32" x14ac:dyDescent="0.2">
      <c r="A2" s="3" t="s">
        <v>250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>
        <v>1</v>
      </c>
      <c r="Q2">
        <f>INDEX('Progression Niveaux'!D:D,MATCH(P2,'Progression Niveaux'!A:A,0))</f>
        <v>100</v>
      </c>
      <c r="R2">
        <f>INDEX('Progression Niveaux'!E:E,MATCH(P2,'Progression Niveaux'!A:A,0))</f>
        <v>10</v>
      </c>
      <c r="S2">
        <f>_xlfn.MAXIFS(Ennemis!C:C,Ennemis!B:B,1)</f>
        <v>50</v>
      </c>
      <c r="T2">
        <f>_xlfn.MAXIFS(Ennemis!D:D,Ennemis!B:B,1)</f>
        <v>8</v>
      </c>
      <c r="V2">
        <v>1</v>
      </c>
      <c r="W2">
        <f>Q2</f>
        <v>100</v>
      </c>
      <c r="X2">
        <f>S2</f>
        <v>50</v>
      </c>
      <c r="Z2">
        <v>1</v>
      </c>
      <c r="AA2">
        <f>R2</f>
        <v>10</v>
      </c>
      <c r="AB2">
        <f>T2</f>
        <v>8</v>
      </c>
      <c r="AD2" t="s">
        <v>257</v>
      </c>
      <c r="AE2">
        <f>I7</f>
        <v>80</v>
      </c>
      <c r="AF2">
        <f>J7</f>
        <v>50000</v>
      </c>
    </row>
    <row r="3" spans="1:32" ht="8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P3">
        <v>3</v>
      </c>
      <c r="Q3">
        <f>INDEX('Progression Niveaux'!D:D,MATCH(P3,'Progression Niveaux'!A:A,0))</f>
        <v>123</v>
      </c>
      <c r="R3">
        <f>INDEX('Progression Niveaux'!E:E,MATCH(P3,'Progression Niveaux'!A:A,0))</f>
        <v>14</v>
      </c>
      <c r="S3">
        <f>_xlfn.MAXIFS(Ennemis!C:C,Ennemis!B:B,2)</f>
        <v>80</v>
      </c>
      <c r="T3">
        <f>_xlfn.MAXIFS(Ennemis!D:D,Ennemis!B:B,2)</f>
        <v>20</v>
      </c>
      <c r="V3">
        <v>3</v>
      </c>
      <c r="W3">
        <f>Q3</f>
        <v>123</v>
      </c>
      <c r="X3">
        <f>S3</f>
        <v>80</v>
      </c>
      <c r="Z3">
        <v>3</v>
      </c>
      <c r="AA3">
        <f>R3</f>
        <v>14</v>
      </c>
      <c r="AB3">
        <f>T3</f>
        <v>20</v>
      </c>
      <c r="AD3" t="s">
        <v>258</v>
      </c>
      <c r="AE3">
        <f>I8</f>
        <v>300</v>
      </c>
      <c r="AF3">
        <f>J8</f>
        <v>500000</v>
      </c>
    </row>
    <row r="4" spans="1:32" ht="17" x14ac:dyDescent="0.2">
      <c r="A4" s="5" t="s">
        <v>251</v>
      </c>
      <c r="B4" s="6"/>
      <c r="C4" s="6"/>
      <c r="D4" s="6"/>
      <c r="E4" s="6"/>
      <c r="F4" s="6"/>
      <c r="H4" s="5" t="s">
        <v>263</v>
      </c>
      <c r="I4" s="6"/>
      <c r="J4" s="6"/>
      <c r="K4" s="6"/>
      <c r="P4">
        <v>5</v>
      </c>
      <c r="Q4">
        <f>INDEX('Progression Niveaux'!D:D,MATCH(P4,'Progression Niveaux'!A:A,0))</f>
        <v>152</v>
      </c>
      <c r="R4">
        <f>INDEX('Progression Niveaux'!E:E,MATCH(P4,'Progression Niveaux'!A:A,0))</f>
        <v>19</v>
      </c>
      <c r="S4">
        <f>_xlfn.MAXIFS(Ennemis!C:C,Ennemis!B:B,2)</f>
        <v>80</v>
      </c>
      <c r="T4">
        <f>_xlfn.MAXIFS(Ennemis!D:D,Ennemis!B:B,2)</f>
        <v>20</v>
      </c>
      <c r="V4">
        <v>5</v>
      </c>
      <c r="W4">
        <f>Q4</f>
        <v>152</v>
      </c>
      <c r="X4">
        <f>S4</f>
        <v>80</v>
      </c>
      <c r="Z4">
        <v>5</v>
      </c>
      <c r="AA4">
        <f>R4</f>
        <v>19</v>
      </c>
      <c r="AB4">
        <f>T4</f>
        <v>20</v>
      </c>
      <c r="AD4" t="s">
        <v>259</v>
      </c>
      <c r="AE4">
        <f>I9</f>
        <v>4000</v>
      </c>
      <c r="AF4">
        <f>J9</f>
        <v>5000000</v>
      </c>
    </row>
    <row r="5" spans="1:32" x14ac:dyDescent="0.2">
      <c r="A5" s="7" t="s">
        <v>2</v>
      </c>
      <c r="B5" s="8" t="s">
        <v>252</v>
      </c>
      <c r="C5" s="8" t="s">
        <v>253</v>
      </c>
      <c r="D5" s="8" t="s">
        <v>254</v>
      </c>
      <c r="E5" s="8" t="s">
        <v>255</v>
      </c>
      <c r="F5" s="8" t="s">
        <v>256</v>
      </c>
      <c r="H5" s="7" t="s">
        <v>2</v>
      </c>
      <c r="I5" s="8" t="s">
        <v>264</v>
      </c>
      <c r="J5" s="8" t="s">
        <v>265</v>
      </c>
      <c r="K5" s="8" t="s">
        <v>266</v>
      </c>
      <c r="P5">
        <v>8</v>
      </c>
      <c r="Q5">
        <f>INDEX('Progression Niveaux'!D:D,MATCH(P5,'Progression Niveaux'!A:A,0))</f>
        <v>207</v>
      </c>
      <c r="R5">
        <f>INDEX('Progression Niveaux'!E:E,MATCH(P5,'Progression Niveaux'!A:A,0))</f>
        <v>28</v>
      </c>
      <c r="S5">
        <f>_xlfn.MAXIFS(Ennemis!C:C,Ennemis!B:B,3)</f>
        <v>200</v>
      </c>
      <c r="T5">
        <f>_xlfn.MAXIFS(Ennemis!D:D,Ennemis!B:B,3)</f>
        <v>35</v>
      </c>
      <c r="V5">
        <v>8</v>
      </c>
      <c r="W5">
        <f>Q5</f>
        <v>207</v>
      </c>
      <c r="X5">
        <f>S5</f>
        <v>200</v>
      </c>
      <c r="Z5">
        <v>8</v>
      </c>
      <c r="AA5">
        <f>R5</f>
        <v>28</v>
      </c>
      <c r="AB5">
        <f>T5</f>
        <v>35</v>
      </c>
      <c r="AD5" t="s">
        <v>260</v>
      </c>
      <c r="AE5">
        <f>I10</f>
        <v>18000</v>
      </c>
      <c r="AF5">
        <f>J10</f>
        <v>320000</v>
      </c>
    </row>
    <row r="6" spans="1:32" x14ac:dyDescent="0.2">
      <c r="A6" s="9" t="s">
        <v>257</v>
      </c>
      <c r="B6" s="10">
        <f>COUNTIFS(Items!B:B,"weapon",Items!C:C,"common")</f>
        <v>3</v>
      </c>
      <c r="C6" s="10">
        <f>COUNTIFS(Items!B:B,"armor",Items!C:C,"common")</f>
        <v>2</v>
      </c>
      <c r="D6" s="10">
        <f>COUNTIFS(Items!B:B,"implant",Items!C:C,"common")</f>
        <v>2</v>
      </c>
      <c r="E6" s="10">
        <f>COUNTIFS(Items!C:C,"common")-B6-C6-D6</f>
        <v>6</v>
      </c>
      <c r="F6" s="10">
        <f>SUM(B6:E6)</f>
        <v>13</v>
      </c>
      <c r="H6" s="9" t="s">
        <v>257</v>
      </c>
      <c r="I6" s="10">
        <f>_xlfn.MINIFS(Items!D:D,Items!C:C,"common")</f>
        <v>25</v>
      </c>
      <c r="J6" s="10">
        <f>_xlfn.MAXIFS(Items!D:D,Items!C:C,"common")</f>
        <v>5000</v>
      </c>
      <c r="K6" s="10">
        <f>AVERAGEIFS(Items!D:D,Items!C:C,"common")</f>
        <v>915.76923076923072</v>
      </c>
      <c r="P6">
        <v>10</v>
      </c>
      <c r="Q6">
        <f>INDEX('Progression Niveaux'!D:D,MATCH(P6,'Progression Niveaux'!A:A,0))</f>
        <v>251</v>
      </c>
      <c r="R6">
        <f>INDEX('Progression Niveaux'!E:E,MATCH(P6,'Progression Niveaux'!A:A,0))</f>
        <v>35</v>
      </c>
      <c r="S6">
        <f>_xlfn.MAXIFS(Ennemis!C:C,Ennemis!B:B,3)</f>
        <v>200</v>
      </c>
      <c r="T6">
        <f>_xlfn.MAXIFS(Ennemis!D:D,Ennemis!B:B,3)</f>
        <v>35</v>
      </c>
      <c r="V6">
        <v>10</v>
      </c>
      <c r="W6">
        <f>Q6</f>
        <v>251</v>
      </c>
      <c r="X6">
        <f>S6</f>
        <v>200</v>
      </c>
      <c r="Z6">
        <v>10</v>
      </c>
      <c r="AA6">
        <f>R6</f>
        <v>35</v>
      </c>
      <c r="AB6">
        <f>T6</f>
        <v>35</v>
      </c>
      <c r="AD6" t="s">
        <v>261</v>
      </c>
      <c r="AE6">
        <f>I11</f>
        <v>0</v>
      </c>
      <c r="AF6">
        <f>J11</f>
        <v>0</v>
      </c>
    </row>
    <row r="7" spans="1:32" x14ac:dyDescent="0.2">
      <c r="A7" s="9" t="s">
        <v>258</v>
      </c>
      <c r="B7" s="10">
        <f>COUNTIFS(Items!B:B,"weapon",Items!C:C,"uncommon")</f>
        <v>2</v>
      </c>
      <c r="C7" s="10">
        <f>COUNTIFS(Items!B:B,"armor",Items!C:C,"uncommon")</f>
        <v>2</v>
      </c>
      <c r="D7" s="10">
        <f>COUNTIFS(Items!B:B,"implant",Items!C:C,"uncommon")</f>
        <v>2</v>
      </c>
      <c r="E7" s="10">
        <f>COUNTIFS(Items!C:C,"uncommon")-B7-C7-D7</f>
        <v>6</v>
      </c>
      <c r="F7" s="10">
        <f>SUM(B7:E7)</f>
        <v>12</v>
      </c>
      <c r="H7" s="9" t="s">
        <v>258</v>
      </c>
      <c r="I7" s="10">
        <f>_xlfn.MINIFS(Items!D:D,Items!C:C,"uncommon")</f>
        <v>80</v>
      </c>
      <c r="J7" s="10">
        <f>_xlfn.MAXIFS(Items!D:D,Items!C:C,"uncommon")</f>
        <v>50000</v>
      </c>
      <c r="K7" s="10">
        <f>AVERAGEIFS(Items!D:D,Items!C:C,"uncommon")</f>
        <v>5485.833333333333</v>
      </c>
      <c r="P7">
        <v>15</v>
      </c>
      <c r="Q7">
        <f>INDEX('Progression Niveaux'!D:D,MATCH(P7,'Progression Niveaux'!A:A,0))</f>
        <v>387</v>
      </c>
      <c r="R7">
        <f>INDEX('Progression Niveaux'!E:E,MATCH(P7,'Progression Niveaux'!A:A,0))</f>
        <v>56</v>
      </c>
      <c r="S7">
        <f>_xlfn.MAXIFS(Ennemis!C:C,Ennemis!B:B,4)</f>
        <v>1200</v>
      </c>
      <c r="T7">
        <f>_xlfn.MAXIFS(Ennemis!D:D,Ennemis!B:B,4)</f>
        <v>80</v>
      </c>
      <c r="V7">
        <v>15</v>
      </c>
      <c r="W7">
        <f>Q7</f>
        <v>387</v>
      </c>
      <c r="X7">
        <f>S7</f>
        <v>1200</v>
      </c>
      <c r="Z7">
        <v>15</v>
      </c>
      <c r="AA7">
        <f>R7</f>
        <v>56</v>
      </c>
      <c r="AB7">
        <f>T7</f>
        <v>80</v>
      </c>
    </row>
    <row r="8" spans="1:32" x14ac:dyDescent="0.2">
      <c r="A8" s="9" t="s">
        <v>259</v>
      </c>
      <c r="B8" s="10">
        <f>COUNTIFS(Items!B:B,"weapon",Items!C:C,"rare")</f>
        <v>2</v>
      </c>
      <c r="C8" s="10">
        <f>COUNTIFS(Items!B:B,"armor",Items!C:C,"rare")</f>
        <v>2</v>
      </c>
      <c r="D8" s="10">
        <f>COUNTIFS(Items!B:B,"implant",Items!C:C,"rare")</f>
        <v>2</v>
      </c>
      <c r="E8" s="10">
        <f>COUNTIFS(Items!C:C,"rare")-B8-C8-D8</f>
        <v>7</v>
      </c>
      <c r="F8" s="10">
        <f>SUM(B8:E8)</f>
        <v>13</v>
      </c>
      <c r="H8" s="9" t="s">
        <v>259</v>
      </c>
      <c r="I8" s="10">
        <f>_xlfn.MINIFS(Items!D:D,Items!C:C,"rare")</f>
        <v>300</v>
      </c>
      <c r="J8" s="10">
        <f>_xlfn.MAXIFS(Items!D:D,Items!C:C,"rare")</f>
        <v>500000</v>
      </c>
      <c r="K8" s="10">
        <f>AVERAGEIFS(Items!D:D,Items!C:C,"rare")</f>
        <v>44061.538461538461</v>
      </c>
      <c r="P8">
        <v>20</v>
      </c>
      <c r="Q8">
        <f>INDEX('Progression Niveaux'!D:D,MATCH(P8,'Progression Niveaux'!A:A,0))</f>
        <v>561</v>
      </c>
      <c r="R8">
        <f>INDEX('Progression Niveaux'!E:E,MATCH(P8,'Progression Niveaux'!A:A,0))</f>
        <v>82</v>
      </c>
      <c r="S8">
        <f>_xlfn.MAXIFS(Ennemis!C:C,Ennemis!B:B,5)</f>
        <v>2600</v>
      </c>
      <c r="T8">
        <f>_xlfn.MAXIFS(Ennemis!D:D,Ennemis!B:B,5)</f>
        <v>135</v>
      </c>
      <c r="V8">
        <v>20</v>
      </c>
      <c r="W8">
        <f>Q8</f>
        <v>561</v>
      </c>
      <c r="X8">
        <f>S8</f>
        <v>2600</v>
      </c>
      <c r="Z8">
        <v>20</v>
      </c>
      <c r="AA8">
        <f>R8</f>
        <v>82</v>
      </c>
      <c r="AB8">
        <f>T8</f>
        <v>135</v>
      </c>
    </row>
    <row r="9" spans="1:32" x14ac:dyDescent="0.2">
      <c r="A9" s="9" t="s">
        <v>260</v>
      </c>
      <c r="B9" s="10">
        <f>COUNTIFS(Items!B:B,"weapon",Items!C:C,"epic")</f>
        <v>2</v>
      </c>
      <c r="C9" s="10">
        <f>COUNTIFS(Items!B:B,"armor",Items!C:C,"epic")</f>
        <v>2</v>
      </c>
      <c r="D9" s="10">
        <f>COUNTIFS(Items!B:B,"implant",Items!C:C,"epic")</f>
        <v>2</v>
      </c>
      <c r="E9" s="10">
        <f>COUNTIFS(Items!C:C,"epic")-B9-C9-D9</f>
        <v>5</v>
      </c>
      <c r="F9" s="10">
        <f>SUM(B9:E9)</f>
        <v>11</v>
      </c>
      <c r="H9" s="9" t="s">
        <v>260</v>
      </c>
      <c r="I9" s="10">
        <f>_xlfn.MINIFS(Items!D:D,Items!C:C,"epic")</f>
        <v>4000</v>
      </c>
      <c r="J9" s="10">
        <f>_xlfn.MAXIFS(Items!D:D,Items!C:C,"epic")</f>
        <v>5000000</v>
      </c>
      <c r="K9" s="10">
        <f>AVERAGEIFS(Items!D:D,Items!C:C,"epic")</f>
        <v>480318.18181818182</v>
      </c>
      <c r="P9">
        <v>24</v>
      </c>
      <c r="Q9">
        <f>INDEX('Progression Niveaux'!D:D,MATCH(P9,'Progression Niveaux'!A:A,0))</f>
        <v>727</v>
      </c>
      <c r="R9">
        <f>INDEX('Progression Niveaux'!E:E,MATCH(P9,'Progression Niveaux'!A:A,0))</f>
        <v>106</v>
      </c>
      <c r="S9">
        <f>_xlfn.MAXIFS(Ennemis!C:C,Ennemis!B:B,5)</f>
        <v>2600</v>
      </c>
      <c r="T9">
        <f>_xlfn.MAXIFS(Ennemis!D:D,Ennemis!B:B,5)</f>
        <v>135</v>
      </c>
      <c r="V9">
        <v>24</v>
      </c>
      <c r="W9">
        <f>Q9</f>
        <v>727</v>
      </c>
      <c r="X9">
        <f>S9</f>
        <v>2600</v>
      </c>
      <c r="Z9">
        <v>24</v>
      </c>
      <c r="AA9">
        <f>R9</f>
        <v>106</v>
      </c>
      <c r="AB9">
        <f>T9</f>
        <v>135</v>
      </c>
    </row>
    <row r="10" spans="1:32" x14ac:dyDescent="0.2">
      <c r="A10" s="9" t="s">
        <v>261</v>
      </c>
      <c r="B10" s="10">
        <f>COUNTIFS(Items!B:B,"weapon",Items!C:C,"legendary")</f>
        <v>2</v>
      </c>
      <c r="C10" s="10">
        <f>COUNTIFS(Items!B:B,"armor",Items!C:C,"legendary")</f>
        <v>2</v>
      </c>
      <c r="D10" s="10">
        <f>COUNTIFS(Items!B:B,"implant",Items!C:C,"legendary")</f>
        <v>3</v>
      </c>
      <c r="E10" s="10">
        <f>COUNTIFS(Items!C:C,"legendary")-B10-C10-D10</f>
        <v>2</v>
      </c>
      <c r="F10" s="10">
        <f>SUM(B10:E10)</f>
        <v>9</v>
      </c>
      <c r="H10" s="9" t="s">
        <v>261</v>
      </c>
      <c r="I10" s="10">
        <f>_xlfn.MINIFS(Items!D:D,Items!C:C,"legendary")</f>
        <v>18000</v>
      </c>
      <c r="J10" s="10">
        <f>_xlfn.MAXIFS(Items!D:D,Items!C:C,"legendary")</f>
        <v>320000</v>
      </c>
      <c r="K10" s="10">
        <f>AVERAGEIFS(Items!D:D,Items!C:C,"legendary")</f>
        <v>135000</v>
      </c>
      <c r="P10">
        <v>29</v>
      </c>
      <c r="Q10">
        <f>INDEX('Progression Niveaux'!D:D,MATCH(P10,'Progression Niveaux'!A:A,0))</f>
        <v>968</v>
      </c>
      <c r="R10">
        <f>INDEX('Progression Niveaux'!E:E,MATCH(P10,'Progression Niveaux'!A:A,0))</f>
        <v>141</v>
      </c>
      <c r="S10">
        <f>_xlfn.MAXIFS(Ennemis!C:C,Ennemis!B:B,6)</f>
        <v>4700</v>
      </c>
      <c r="T10">
        <f>_xlfn.MAXIFS(Ennemis!D:D,Ennemis!B:B,6)</f>
        <v>195</v>
      </c>
      <c r="V10">
        <v>29</v>
      </c>
      <c r="W10">
        <f>Q10</f>
        <v>968</v>
      </c>
      <c r="X10">
        <f>S10</f>
        <v>4700</v>
      </c>
      <c r="Z10">
        <v>29</v>
      </c>
      <c r="AA10">
        <f>R10</f>
        <v>141</v>
      </c>
      <c r="AB10">
        <f>T10</f>
        <v>195</v>
      </c>
    </row>
    <row r="11" spans="1:32" x14ac:dyDescent="0.2">
      <c r="A11" s="7" t="s">
        <v>262</v>
      </c>
      <c r="B11" s="8">
        <f>SUM(B6:B10)</f>
        <v>11</v>
      </c>
      <c r="C11" s="8">
        <f>SUM(C6:C10)</f>
        <v>10</v>
      </c>
      <c r="D11" s="8">
        <f>SUM(D6:D10)</f>
        <v>11</v>
      </c>
      <c r="E11" s="8">
        <f>SUM(E6:E10)</f>
        <v>26</v>
      </c>
      <c r="F11" s="8">
        <f>SUM(F6:F10)</f>
        <v>58</v>
      </c>
      <c r="P11">
        <v>34</v>
      </c>
      <c r="Q11">
        <f>INDEX('Progression Niveaux'!D:D,MATCH(P11,'Progression Niveaux'!A:A,0))</f>
        <v>1247</v>
      </c>
      <c r="R11">
        <f>INDEX('Progression Niveaux'!E:E,MATCH(P11,'Progression Niveaux'!A:A,0))</f>
        <v>181</v>
      </c>
      <c r="S11">
        <f>_xlfn.MAXIFS(Ennemis!C:C,Ennemis!B:B,6)</f>
        <v>4700</v>
      </c>
      <c r="T11">
        <f>_xlfn.MAXIFS(Ennemis!D:D,Ennemis!B:B,6)</f>
        <v>195</v>
      </c>
      <c r="V11">
        <v>34</v>
      </c>
      <c r="W11">
        <f>Q11</f>
        <v>1247</v>
      </c>
      <c r="X11">
        <f>S11</f>
        <v>4700</v>
      </c>
      <c r="Z11">
        <v>34</v>
      </c>
      <c r="AA11">
        <f>R11</f>
        <v>181</v>
      </c>
      <c r="AB11">
        <f>T11</f>
        <v>195</v>
      </c>
    </row>
    <row r="12" spans="1:32" ht="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P12">
        <v>40</v>
      </c>
      <c r="Q12">
        <f>INDEX('Progression Niveaux'!D:D,MATCH(P12,'Progression Niveaux'!A:A,0))</f>
        <v>1631</v>
      </c>
      <c r="R12">
        <f>INDEX('Progression Niveaux'!E:E,MATCH(P12,'Progression Niveaux'!A:A,0))</f>
        <v>236</v>
      </c>
      <c r="S12">
        <f>_xlfn.MAXIFS(Ennemis!C:C,Ennemis!B:B,7)</f>
        <v>9800</v>
      </c>
      <c r="T12">
        <f>_xlfn.MAXIFS(Ennemis!D:D,Ennemis!B:B,7)</f>
        <v>285</v>
      </c>
      <c r="V12">
        <v>40</v>
      </c>
      <c r="W12">
        <f>Q12</f>
        <v>1631</v>
      </c>
      <c r="X12">
        <f>S12</f>
        <v>9800</v>
      </c>
      <c r="Z12">
        <v>40</v>
      </c>
      <c r="AA12">
        <f>R12</f>
        <v>236</v>
      </c>
      <c r="AB12">
        <f>T12</f>
        <v>285</v>
      </c>
    </row>
    <row r="13" spans="1:32" ht="17" x14ac:dyDescent="0.2">
      <c r="A13" s="5" t="s">
        <v>267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P13">
        <v>48</v>
      </c>
      <c r="Q13">
        <f>INDEX('Progression Niveaux'!D:D,MATCH(P13,'Progression Niveaux'!A:A,0))</f>
        <v>2227</v>
      </c>
      <c r="R13">
        <f>INDEX('Progression Niveaux'!E:E,MATCH(P13,'Progression Niveaux'!A:A,0))</f>
        <v>320</v>
      </c>
      <c r="S13">
        <f>_xlfn.MAXIFS(Ennemis!C:C,Ennemis!B:B,7)</f>
        <v>9800</v>
      </c>
      <c r="T13">
        <f>_xlfn.MAXIFS(Ennemis!D:D,Ennemis!B:B,7)</f>
        <v>285</v>
      </c>
      <c r="V13">
        <v>48</v>
      </c>
      <c r="W13">
        <f>Q13</f>
        <v>2227</v>
      </c>
      <c r="X13">
        <f>S13</f>
        <v>9800</v>
      </c>
      <c r="Z13">
        <v>48</v>
      </c>
      <c r="AA13">
        <f>R13</f>
        <v>320</v>
      </c>
      <c r="AB13">
        <f>T13</f>
        <v>285</v>
      </c>
    </row>
    <row r="14" spans="1:32" x14ac:dyDescent="0.2">
      <c r="A14" s="12" t="s">
        <v>122</v>
      </c>
      <c r="B14" s="12" t="s">
        <v>91</v>
      </c>
      <c r="C14" s="12" t="s">
        <v>268</v>
      </c>
      <c r="D14" s="12" t="s">
        <v>269</v>
      </c>
      <c r="E14" s="12" t="s">
        <v>270</v>
      </c>
      <c r="F14" s="12" t="s">
        <v>271</v>
      </c>
      <c r="G14" s="12" t="s">
        <v>272</v>
      </c>
      <c r="H14" s="12" t="s">
        <v>273</v>
      </c>
      <c r="I14" s="12" t="s">
        <v>274</v>
      </c>
      <c r="J14" s="12" t="s">
        <v>275</v>
      </c>
      <c r="K14" s="12" t="s">
        <v>276</v>
      </c>
      <c r="L14" s="12" t="s">
        <v>277</v>
      </c>
      <c r="M14" s="12" t="s">
        <v>278</v>
      </c>
      <c r="N14" s="12" t="s">
        <v>279</v>
      </c>
      <c r="P14">
        <v>60</v>
      </c>
      <c r="Q14">
        <f>INDEX('Progression Niveaux'!D:D,MATCH(P14,'Progression Niveaux'!A:A,0))</f>
        <v>3301</v>
      </c>
      <c r="R14">
        <f>INDEX('Progression Niveaux'!E:E,MATCH(P14,'Progression Niveaux'!A:A,0))</f>
        <v>470</v>
      </c>
      <c r="S14">
        <f>_xlfn.MAXIFS(Ennemis!C:C,Ennemis!B:B,7)</f>
        <v>9800</v>
      </c>
      <c r="T14">
        <f>_xlfn.MAXIFS(Ennemis!D:D,Ennemis!B:B,7)</f>
        <v>285</v>
      </c>
      <c r="V14">
        <v>60</v>
      </c>
      <c r="W14">
        <f>Q14</f>
        <v>3301</v>
      </c>
      <c r="X14">
        <f>S14</f>
        <v>9800</v>
      </c>
      <c r="Z14">
        <v>60</v>
      </c>
      <c r="AA14">
        <f>R14</f>
        <v>470</v>
      </c>
      <c r="AB14">
        <f>T14</f>
        <v>285</v>
      </c>
    </row>
    <row r="15" spans="1:32" x14ac:dyDescent="0.2">
      <c r="A15" s="13" t="s">
        <v>100</v>
      </c>
      <c r="B15" s="14">
        <v>1</v>
      </c>
      <c r="C15" s="14">
        <v>1</v>
      </c>
      <c r="D15" s="14">
        <f>INDEX(Ennemis!C:C,MATCH(A15,Ennemis!A:A,0))</f>
        <v>30</v>
      </c>
      <c r="E15" s="14">
        <f>INDEX(Ennemis!D:D,MATCH(A15,Ennemis!A:A,0))</f>
        <v>5</v>
      </c>
      <c r="F15" s="14">
        <f>INDEX(Ennemis!E:E,MATCH(A15,Ennemis!A:A,0))</f>
        <v>2</v>
      </c>
      <c r="G15" s="14">
        <f>INDEX('Progression Niveaux'!D:D,MATCH(C15,'Progression Niveaux'!A:A,0))</f>
        <v>100</v>
      </c>
      <c r="H15" s="14">
        <f>INDEX('Progression Niveaux'!E:E,MATCH(C15,'Progression Niveaux'!A:A,0))</f>
        <v>10</v>
      </c>
      <c r="I15" s="14">
        <f>INDEX('Progression Niveaux'!F:F,MATCH(C15,'Progression Niveaux'!A:A,0))</f>
        <v>5</v>
      </c>
      <c r="J15" s="14">
        <f>G15/D15</f>
        <v>3.3333333333333335</v>
      </c>
      <c r="K15" s="14">
        <f>H15/E15</f>
        <v>2</v>
      </c>
      <c r="L15" s="14">
        <f>I15/F15</f>
        <v>2.5</v>
      </c>
      <c r="M15" s="14">
        <f>ROUNDUP(D15/MAX(H15-F15,1),0)</f>
        <v>4</v>
      </c>
      <c r="N15" s="14" t="str">
        <f>IF(AND(J15&gt;=0.3,J15&lt;=5,M15&gt;=2,M15&lt;=30),"✅ OK","⚠️ CHECK")</f>
        <v>✅ OK</v>
      </c>
      <c r="P15">
        <v>80</v>
      </c>
      <c r="Q15">
        <f>INDEX('Progression Niveaux'!D:D,MATCH(P15,'Progression Niveaux'!A:A,0))</f>
        <v>5571</v>
      </c>
      <c r="R15">
        <f>INDEX('Progression Niveaux'!E:E,MATCH(P15,'Progression Niveaux'!A:A,0))</f>
        <v>784</v>
      </c>
      <c r="S15">
        <f>_xlfn.MAXIFS(Ennemis!C:C,Ennemis!B:B,7)</f>
        <v>9800</v>
      </c>
      <c r="T15">
        <f>_xlfn.MAXIFS(Ennemis!D:D,Ennemis!B:B,7)</f>
        <v>285</v>
      </c>
      <c r="V15">
        <v>80</v>
      </c>
      <c r="W15">
        <f>Q15</f>
        <v>5571</v>
      </c>
      <c r="X15">
        <f>S15</f>
        <v>9800</v>
      </c>
      <c r="Z15">
        <v>80</v>
      </c>
      <c r="AA15">
        <f>R15</f>
        <v>784</v>
      </c>
      <c r="AB15">
        <f>T15</f>
        <v>285</v>
      </c>
    </row>
    <row r="16" spans="1:32" x14ac:dyDescent="0.2">
      <c r="A16" s="13" t="s">
        <v>101</v>
      </c>
      <c r="B16" s="14">
        <v>1</v>
      </c>
      <c r="C16" s="14">
        <v>1</v>
      </c>
      <c r="D16" s="14">
        <f>INDEX(Ennemis!C:C,MATCH(A16,Ennemis!A:A,0))</f>
        <v>20</v>
      </c>
      <c r="E16" s="14">
        <f>INDEX(Ennemis!D:D,MATCH(A16,Ennemis!A:A,0))</f>
        <v>8</v>
      </c>
      <c r="F16" s="14">
        <f>INDEX(Ennemis!E:E,MATCH(A16,Ennemis!A:A,0))</f>
        <v>1</v>
      </c>
      <c r="G16" s="14">
        <f>INDEX('Progression Niveaux'!D:D,MATCH(C16,'Progression Niveaux'!A:A,0))</f>
        <v>100</v>
      </c>
      <c r="H16" s="14">
        <f>INDEX('Progression Niveaux'!E:E,MATCH(C16,'Progression Niveaux'!A:A,0))</f>
        <v>10</v>
      </c>
      <c r="I16" s="14">
        <f>INDEX('Progression Niveaux'!F:F,MATCH(C16,'Progression Niveaux'!A:A,0))</f>
        <v>5</v>
      </c>
      <c r="J16" s="14">
        <f>G16/D16</f>
        <v>5</v>
      </c>
      <c r="K16" s="14">
        <f>H16/E16</f>
        <v>1.25</v>
      </c>
      <c r="L16" s="14">
        <f>I16/F16</f>
        <v>5</v>
      </c>
      <c r="M16" s="14">
        <f>ROUNDUP(D16/MAX(H16-F16,1),0)</f>
        <v>3</v>
      </c>
      <c r="N16" s="14" t="str">
        <f>IF(AND(J16&gt;=0.3,J16&lt;=5,M16&gt;=2,M16&lt;=30),"✅ OK","⚠️ CHECK")</f>
        <v>✅ OK</v>
      </c>
      <c r="P16">
        <v>100</v>
      </c>
      <c r="Q16">
        <f>INDEX('Progression Niveaux'!D:D,MATCH(P16,'Progression Niveaux'!A:A,0))</f>
        <v>8441</v>
      </c>
      <c r="R16">
        <f>INDEX('Progression Niveaux'!E:E,MATCH(P16,'Progression Niveaux'!A:A,0))</f>
        <v>1178</v>
      </c>
      <c r="S16">
        <f>_xlfn.MAXIFS(Ennemis!C:C,Ennemis!B:B,7)</f>
        <v>9800</v>
      </c>
      <c r="T16">
        <f>_xlfn.MAXIFS(Ennemis!D:D,Ennemis!B:B,7)</f>
        <v>285</v>
      </c>
      <c r="V16">
        <v>100</v>
      </c>
      <c r="W16">
        <f>Q16</f>
        <v>8441</v>
      </c>
      <c r="X16">
        <f>S16</f>
        <v>9800</v>
      </c>
      <c r="Z16">
        <v>100</v>
      </c>
      <c r="AA16">
        <f>R16</f>
        <v>1178</v>
      </c>
      <c r="AB16">
        <f>T16</f>
        <v>285</v>
      </c>
    </row>
    <row r="17" spans="1:28" x14ac:dyDescent="0.2">
      <c r="A17" s="13" t="s">
        <v>102</v>
      </c>
      <c r="B17" s="14">
        <v>1</v>
      </c>
      <c r="C17" s="14">
        <v>1</v>
      </c>
      <c r="D17" s="14">
        <f>INDEX(Ennemis!C:C,MATCH(A17,Ennemis!A:A,0))</f>
        <v>50</v>
      </c>
      <c r="E17" s="14">
        <f>INDEX(Ennemis!D:D,MATCH(A17,Ennemis!A:A,0))</f>
        <v>7</v>
      </c>
      <c r="F17" s="14">
        <f>INDEX(Ennemis!E:E,MATCH(A17,Ennemis!A:A,0))</f>
        <v>3</v>
      </c>
      <c r="G17" s="14">
        <f>INDEX('Progression Niveaux'!D:D,MATCH(C17,'Progression Niveaux'!A:A,0))</f>
        <v>100</v>
      </c>
      <c r="H17" s="14">
        <f>INDEX('Progression Niveaux'!E:E,MATCH(C17,'Progression Niveaux'!A:A,0))</f>
        <v>10</v>
      </c>
      <c r="I17" s="14">
        <f>INDEX('Progression Niveaux'!F:F,MATCH(C17,'Progression Niveaux'!A:A,0))</f>
        <v>5</v>
      </c>
      <c r="J17" s="14">
        <f>G17/D17</f>
        <v>2</v>
      </c>
      <c r="K17" s="14">
        <f>H17/E17</f>
        <v>1.4285714285714286</v>
      </c>
      <c r="L17" s="14">
        <f>I17/F17</f>
        <v>1.6666666666666667</v>
      </c>
      <c r="M17" s="14">
        <f>ROUNDUP(D17/MAX(H17-F17,1),0)</f>
        <v>8</v>
      </c>
      <c r="N17" s="14" t="str">
        <f>IF(AND(J17&gt;=0.3,J17&lt;=5,M17&gt;=2,M17&lt;=30),"✅ OK","⚠️ CHECK")</f>
        <v>✅ OK</v>
      </c>
      <c r="P17">
        <v>120</v>
      </c>
      <c r="Q17">
        <f>INDEX('Progression Niveaux'!D:D,MATCH(P17,'Progression Niveaux'!A:A,0))</f>
        <v>11911</v>
      </c>
      <c r="R17">
        <f>INDEX('Progression Niveaux'!E:E,MATCH(P17,'Progression Niveaux'!A:A,0))</f>
        <v>1652</v>
      </c>
      <c r="S17">
        <f>_xlfn.MAXIFS(Ennemis!C:C,Ennemis!B:B,7)</f>
        <v>9800</v>
      </c>
      <c r="T17">
        <f>_xlfn.MAXIFS(Ennemis!D:D,Ennemis!B:B,7)</f>
        <v>285</v>
      </c>
      <c r="V17">
        <v>120</v>
      </c>
      <c r="W17">
        <f>Q17</f>
        <v>11911</v>
      </c>
      <c r="X17">
        <f>S17</f>
        <v>9800</v>
      </c>
      <c r="Z17">
        <v>120</v>
      </c>
      <c r="AA17">
        <f>R17</f>
        <v>1652</v>
      </c>
      <c r="AB17">
        <f>T17</f>
        <v>285</v>
      </c>
    </row>
    <row r="18" spans="1:28" x14ac:dyDescent="0.2">
      <c r="A18" s="13" t="s">
        <v>103</v>
      </c>
      <c r="B18" s="14">
        <v>2</v>
      </c>
      <c r="C18" s="14">
        <v>3</v>
      </c>
      <c r="D18" s="14">
        <f>INDEX(Ennemis!C:C,MATCH(A18,Ennemis!A:A,0))</f>
        <v>80</v>
      </c>
      <c r="E18" s="14">
        <f>INDEX(Ennemis!D:D,MATCH(A18,Ennemis!A:A,0))</f>
        <v>15</v>
      </c>
      <c r="F18" s="14">
        <f>INDEX(Ennemis!E:E,MATCH(A18,Ennemis!A:A,0))</f>
        <v>8</v>
      </c>
      <c r="G18" s="14">
        <f>INDEX('Progression Niveaux'!D:D,MATCH(C18,'Progression Niveaux'!A:A,0))</f>
        <v>123</v>
      </c>
      <c r="H18" s="14">
        <f>INDEX('Progression Niveaux'!E:E,MATCH(C18,'Progression Niveaux'!A:A,0))</f>
        <v>14</v>
      </c>
      <c r="I18" s="14">
        <f>INDEX('Progression Niveaux'!F:F,MATCH(C18,'Progression Niveaux'!A:A,0))</f>
        <v>7</v>
      </c>
      <c r="J18" s="14">
        <f>G18/D18</f>
        <v>1.5375000000000001</v>
      </c>
      <c r="K18" s="14">
        <f>H18/E18</f>
        <v>0.93333333333333335</v>
      </c>
      <c r="L18" s="14">
        <f>I18/F18</f>
        <v>0.875</v>
      </c>
      <c r="M18" s="14">
        <f>ROUNDUP(D18/MAX(H18-F18,1),0)</f>
        <v>14</v>
      </c>
      <c r="N18" s="14" t="str">
        <f>IF(AND(J18&gt;=0.3,J18&lt;=5,M18&gt;=2,M18&lt;=30),"✅ OK","⚠️ CHECK")</f>
        <v>✅ OK</v>
      </c>
      <c r="P18">
        <v>150</v>
      </c>
      <c r="Q18">
        <f>INDEX('Progression Niveaux'!D:D,MATCH(P18,'Progression Niveaux'!A:A,0))</f>
        <v>18241</v>
      </c>
      <c r="R18">
        <f>INDEX('Progression Niveaux'!E:E,MATCH(P18,'Progression Niveaux'!A:A,0))</f>
        <v>2513</v>
      </c>
      <c r="S18">
        <f>_xlfn.MAXIFS(Ennemis!C:C,Ennemis!B:B,7)</f>
        <v>9800</v>
      </c>
      <c r="T18">
        <f>_xlfn.MAXIFS(Ennemis!D:D,Ennemis!B:B,7)</f>
        <v>285</v>
      </c>
      <c r="V18">
        <v>150</v>
      </c>
      <c r="W18">
        <f>Q18</f>
        <v>18241</v>
      </c>
      <c r="X18">
        <f>S18</f>
        <v>9800</v>
      </c>
      <c r="Z18">
        <v>150</v>
      </c>
      <c r="AA18">
        <f>R18</f>
        <v>2513</v>
      </c>
      <c r="AB18">
        <f>T18</f>
        <v>285</v>
      </c>
    </row>
    <row r="19" spans="1:28" x14ac:dyDescent="0.2">
      <c r="A19" s="13" t="s">
        <v>104</v>
      </c>
      <c r="B19" s="14">
        <v>2</v>
      </c>
      <c r="C19" s="14">
        <v>3</v>
      </c>
      <c r="D19" s="14">
        <f>INDEX(Ennemis!C:C,MATCH(A19,Ennemis!A:A,0))</f>
        <v>60</v>
      </c>
      <c r="E19" s="14">
        <f>INDEX(Ennemis!D:D,MATCH(A19,Ennemis!A:A,0))</f>
        <v>20</v>
      </c>
      <c r="F19" s="14">
        <f>INDEX(Ennemis!E:E,MATCH(A19,Ennemis!A:A,0))</f>
        <v>5</v>
      </c>
      <c r="G19" s="14">
        <f>INDEX('Progression Niveaux'!D:D,MATCH(C19,'Progression Niveaux'!A:A,0))</f>
        <v>123</v>
      </c>
      <c r="H19" s="14">
        <f>INDEX('Progression Niveaux'!E:E,MATCH(C19,'Progression Niveaux'!A:A,0))</f>
        <v>14</v>
      </c>
      <c r="I19" s="14">
        <f>INDEX('Progression Niveaux'!F:F,MATCH(C19,'Progression Niveaux'!A:A,0))</f>
        <v>7</v>
      </c>
      <c r="J19" s="14">
        <f>G19/D19</f>
        <v>2.0499999999999998</v>
      </c>
      <c r="K19" s="14">
        <f>H19/E19</f>
        <v>0.7</v>
      </c>
      <c r="L19" s="14">
        <f>I19/F19</f>
        <v>1.4</v>
      </c>
      <c r="M19" s="14">
        <f>ROUNDUP(D19/MAX(H19-F19,1),0)</f>
        <v>7</v>
      </c>
      <c r="N19" s="14" t="str">
        <f>IF(AND(J19&gt;=0.3,J19&lt;=5,M19&gt;=2,M19&lt;=30),"✅ OK","⚠️ CHECK")</f>
        <v>✅ OK</v>
      </c>
    </row>
    <row r="20" spans="1:28" x14ac:dyDescent="0.2">
      <c r="A20" s="13" t="s">
        <v>105</v>
      </c>
      <c r="B20" s="14">
        <v>2</v>
      </c>
      <c r="C20" s="14">
        <v>3</v>
      </c>
      <c r="D20" s="14">
        <f>INDEX(Ennemis!C:C,MATCH(A20,Ennemis!A:A,0))</f>
        <v>70</v>
      </c>
      <c r="E20" s="14">
        <f>INDEX(Ennemis!D:D,MATCH(A20,Ennemis!A:A,0))</f>
        <v>18</v>
      </c>
      <c r="F20" s="14">
        <f>INDEX(Ennemis!E:E,MATCH(A20,Ennemis!A:A,0))</f>
        <v>10</v>
      </c>
      <c r="G20" s="14">
        <f>INDEX('Progression Niveaux'!D:D,MATCH(C20,'Progression Niveaux'!A:A,0))</f>
        <v>123</v>
      </c>
      <c r="H20" s="14">
        <f>INDEX('Progression Niveaux'!E:E,MATCH(C20,'Progression Niveaux'!A:A,0))</f>
        <v>14</v>
      </c>
      <c r="I20" s="14">
        <f>INDEX('Progression Niveaux'!F:F,MATCH(C20,'Progression Niveaux'!A:A,0))</f>
        <v>7</v>
      </c>
      <c r="J20" s="14">
        <f>G20/D20</f>
        <v>1.7571428571428571</v>
      </c>
      <c r="K20" s="14">
        <f>H20/E20</f>
        <v>0.77777777777777779</v>
      </c>
      <c r="L20" s="14">
        <f>I20/F20</f>
        <v>0.7</v>
      </c>
      <c r="M20" s="14">
        <f>ROUNDUP(D20/MAX(H20-F20,1),0)</f>
        <v>18</v>
      </c>
      <c r="N20" s="14" t="str">
        <f>IF(AND(J20&gt;=0.3,J20&lt;=5,M20&gt;=2,M20&lt;=30),"✅ OK","⚠️ CHECK")</f>
        <v>✅ OK</v>
      </c>
    </row>
    <row r="21" spans="1:28" x14ac:dyDescent="0.2">
      <c r="A21" s="13" t="s">
        <v>106</v>
      </c>
      <c r="B21" s="14">
        <v>3</v>
      </c>
      <c r="C21" s="14">
        <v>8</v>
      </c>
      <c r="D21" s="14">
        <f>INDEX(Ennemis!C:C,MATCH(A21,Ennemis!A:A,0))</f>
        <v>150</v>
      </c>
      <c r="E21" s="14">
        <f>INDEX(Ennemis!D:D,MATCH(A21,Ennemis!A:A,0))</f>
        <v>25</v>
      </c>
      <c r="F21" s="14">
        <f>INDEX(Ennemis!E:E,MATCH(A21,Ennemis!A:A,0))</f>
        <v>20</v>
      </c>
      <c r="G21" s="14">
        <f>INDEX('Progression Niveaux'!D:D,MATCH(C21,'Progression Niveaux'!A:A,0))</f>
        <v>207</v>
      </c>
      <c r="H21" s="14">
        <f>INDEX('Progression Niveaux'!E:E,MATCH(C21,'Progression Niveaux'!A:A,0))</f>
        <v>28</v>
      </c>
      <c r="I21" s="14">
        <f>INDEX('Progression Niveaux'!F:F,MATCH(C21,'Progression Niveaux'!A:A,0))</f>
        <v>16</v>
      </c>
      <c r="J21" s="14">
        <f>G21/D21</f>
        <v>1.38</v>
      </c>
      <c r="K21" s="14">
        <f>H21/E21</f>
        <v>1.1200000000000001</v>
      </c>
      <c r="L21" s="14">
        <f>I21/F21</f>
        <v>0.8</v>
      </c>
      <c r="M21" s="14">
        <f>ROUNDUP(D21/MAX(H21-F21,1),0)</f>
        <v>19</v>
      </c>
      <c r="N21" s="14" t="str">
        <f>IF(AND(J21&gt;=0.3,J21&lt;=5,M21&gt;=2,M21&lt;=30),"✅ OK","⚠️ CHECK")</f>
        <v>✅ OK</v>
      </c>
    </row>
    <row r="22" spans="1:28" x14ac:dyDescent="0.2">
      <c r="A22" s="13" t="s">
        <v>107</v>
      </c>
      <c r="B22" s="14">
        <v>3</v>
      </c>
      <c r="C22" s="14">
        <v>8</v>
      </c>
      <c r="D22" s="14">
        <f>INDEX(Ennemis!C:C,MATCH(A22,Ennemis!A:A,0))</f>
        <v>100</v>
      </c>
      <c r="E22" s="14">
        <f>INDEX(Ennemis!D:D,MATCH(A22,Ennemis!A:A,0))</f>
        <v>35</v>
      </c>
      <c r="F22" s="14">
        <f>INDEX(Ennemis!E:E,MATCH(A22,Ennemis!A:A,0))</f>
        <v>12</v>
      </c>
      <c r="G22" s="14">
        <f>INDEX('Progression Niveaux'!D:D,MATCH(C22,'Progression Niveaux'!A:A,0))</f>
        <v>207</v>
      </c>
      <c r="H22" s="14">
        <f>INDEX('Progression Niveaux'!E:E,MATCH(C22,'Progression Niveaux'!A:A,0))</f>
        <v>28</v>
      </c>
      <c r="I22" s="14">
        <f>INDEX('Progression Niveaux'!F:F,MATCH(C22,'Progression Niveaux'!A:A,0))</f>
        <v>16</v>
      </c>
      <c r="J22" s="14">
        <f>G22/D22</f>
        <v>2.0699999999999998</v>
      </c>
      <c r="K22" s="14">
        <f>H22/E22</f>
        <v>0.8</v>
      </c>
      <c r="L22" s="14">
        <f>I22/F22</f>
        <v>1.3333333333333333</v>
      </c>
      <c r="M22" s="14">
        <f>ROUNDUP(D22/MAX(H22-F22,1),0)</f>
        <v>7</v>
      </c>
      <c r="N22" s="14" t="str">
        <f>IF(AND(J22&gt;=0.3,J22&lt;=5,M22&gt;=2,M22&lt;=30),"✅ OK","⚠️ CHECK")</f>
        <v>✅ OK</v>
      </c>
    </row>
    <row r="23" spans="1:28" x14ac:dyDescent="0.2">
      <c r="A23" s="13" t="s">
        <v>108</v>
      </c>
      <c r="B23" s="14">
        <v>3</v>
      </c>
      <c r="C23" s="14">
        <v>8</v>
      </c>
      <c r="D23" s="14">
        <f>INDEX(Ennemis!C:C,MATCH(A23,Ennemis!A:A,0))</f>
        <v>200</v>
      </c>
      <c r="E23" s="14">
        <f>INDEX(Ennemis!D:D,MATCH(A23,Ennemis!A:A,0))</f>
        <v>30</v>
      </c>
      <c r="F23" s="14">
        <f>INDEX(Ennemis!E:E,MATCH(A23,Ennemis!A:A,0))</f>
        <v>25</v>
      </c>
      <c r="G23" s="14">
        <f>INDEX('Progression Niveaux'!D:D,MATCH(C23,'Progression Niveaux'!A:A,0))</f>
        <v>207</v>
      </c>
      <c r="H23" s="14">
        <f>INDEX('Progression Niveaux'!E:E,MATCH(C23,'Progression Niveaux'!A:A,0))</f>
        <v>28</v>
      </c>
      <c r="I23" s="14">
        <f>INDEX('Progression Niveaux'!F:F,MATCH(C23,'Progression Niveaux'!A:A,0))</f>
        <v>16</v>
      </c>
      <c r="J23" s="14">
        <f>G23/D23</f>
        <v>1.0349999999999999</v>
      </c>
      <c r="K23" s="14">
        <f>H23/E23</f>
        <v>0.93333333333333335</v>
      </c>
      <c r="L23" s="14">
        <f>I23/F23</f>
        <v>0.64</v>
      </c>
      <c r="M23" s="14">
        <f>ROUNDUP(D23/MAX(H23-F23,1),0)</f>
        <v>67</v>
      </c>
      <c r="N23" s="14" t="str">
        <f>IF(AND(J23&gt;=0.3,J23&lt;=5,M23&gt;=2,M23&lt;=30),"✅ OK","⚠️ CHECK")</f>
        <v>⚠️ CHECK</v>
      </c>
    </row>
    <row r="24" spans="1:28" x14ac:dyDescent="0.2">
      <c r="A24" s="13" t="s">
        <v>109</v>
      </c>
      <c r="B24" s="14">
        <v>4</v>
      </c>
      <c r="C24" s="14">
        <v>15</v>
      </c>
      <c r="D24" s="14">
        <f>INDEX(Ennemis!C:C,MATCH(A24,Ennemis!A:A,0))</f>
        <v>500</v>
      </c>
      <c r="E24" s="14">
        <f>INDEX(Ennemis!D:D,MATCH(A24,Ennemis!A:A,0))</f>
        <v>50</v>
      </c>
      <c r="F24" s="14">
        <f>INDEX(Ennemis!E:E,MATCH(A24,Ennemis!A:A,0))</f>
        <v>30</v>
      </c>
      <c r="G24" s="14">
        <f>INDEX('Progression Niveaux'!D:D,MATCH(C24,'Progression Niveaux'!A:A,0))</f>
        <v>387</v>
      </c>
      <c r="H24" s="14">
        <f>INDEX('Progression Niveaux'!E:E,MATCH(C24,'Progression Niveaux'!A:A,0))</f>
        <v>56</v>
      </c>
      <c r="I24" s="14">
        <f>INDEX('Progression Niveaux'!F:F,MATCH(C24,'Progression Niveaux'!A:A,0))</f>
        <v>37</v>
      </c>
      <c r="J24" s="14">
        <f>G24/D24</f>
        <v>0.77400000000000002</v>
      </c>
      <c r="K24" s="14">
        <f>H24/E24</f>
        <v>1.1200000000000001</v>
      </c>
      <c r="L24" s="14">
        <f>I24/F24</f>
        <v>1.2333333333333334</v>
      </c>
      <c r="M24" s="14">
        <f>ROUNDUP(D24/MAX(H24-F24,1),0)</f>
        <v>20</v>
      </c>
      <c r="N24" s="14" t="str">
        <f>IF(AND(J24&gt;=0.3,J24&lt;=5,M24&gt;=2,M24&lt;=30),"✅ OK","⚠️ CHECK")</f>
        <v>✅ OK</v>
      </c>
    </row>
    <row r="25" spans="1:28" x14ac:dyDescent="0.2">
      <c r="A25" s="13" t="s">
        <v>110</v>
      </c>
      <c r="B25" s="14">
        <v>4</v>
      </c>
      <c r="C25" s="14">
        <v>15</v>
      </c>
      <c r="D25" s="14">
        <f>INDEX(Ennemis!C:C,MATCH(A25,Ennemis!A:A,0))</f>
        <v>800</v>
      </c>
      <c r="E25" s="14">
        <f>INDEX(Ennemis!D:D,MATCH(A25,Ennemis!A:A,0))</f>
        <v>60</v>
      </c>
      <c r="F25" s="14">
        <f>INDEX(Ennemis!E:E,MATCH(A25,Ennemis!A:A,0))</f>
        <v>40</v>
      </c>
      <c r="G25" s="14">
        <f>INDEX('Progression Niveaux'!D:D,MATCH(C25,'Progression Niveaux'!A:A,0))</f>
        <v>387</v>
      </c>
      <c r="H25" s="14">
        <f>INDEX('Progression Niveaux'!E:E,MATCH(C25,'Progression Niveaux'!A:A,0))</f>
        <v>56</v>
      </c>
      <c r="I25" s="14">
        <f>INDEX('Progression Niveaux'!F:F,MATCH(C25,'Progression Niveaux'!A:A,0))</f>
        <v>37</v>
      </c>
      <c r="J25" s="14">
        <f>G25/D25</f>
        <v>0.48375000000000001</v>
      </c>
      <c r="K25" s="14">
        <f>H25/E25</f>
        <v>0.93333333333333335</v>
      </c>
      <c r="L25" s="14">
        <f>I25/F25</f>
        <v>0.92500000000000004</v>
      </c>
      <c r="M25" s="14">
        <f>ROUNDUP(D25/MAX(H25-F25,1),0)</f>
        <v>50</v>
      </c>
      <c r="N25" s="14" t="str">
        <f>IF(AND(J25&gt;=0.3,J25&lt;=5,M25&gt;=2,M25&lt;=30),"✅ OK","⚠️ CHECK")</f>
        <v>⚠️ CHECK</v>
      </c>
    </row>
    <row r="26" spans="1:28" x14ac:dyDescent="0.2">
      <c r="A26" s="13" t="s">
        <v>111</v>
      </c>
      <c r="B26" s="14">
        <v>4</v>
      </c>
      <c r="C26" s="14">
        <v>15</v>
      </c>
      <c r="D26" s="14">
        <f>INDEX(Ennemis!C:C,MATCH(A26,Ennemis!A:A,0))</f>
        <v>1200</v>
      </c>
      <c r="E26" s="14">
        <f>INDEX(Ennemis!D:D,MATCH(A26,Ennemis!A:A,0))</f>
        <v>80</v>
      </c>
      <c r="F26" s="14">
        <f>INDEX(Ennemis!E:E,MATCH(A26,Ennemis!A:A,0))</f>
        <v>50</v>
      </c>
      <c r="G26" s="14">
        <f>INDEX('Progression Niveaux'!D:D,MATCH(C26,'Progression Niveaux'!A:A,0))</f>
        <v>387</v>
      </c>
      <c r="H26" s="14">
        <f>INDEX('Progression Niveaux'!E:E,MATCH(C26,'Progression Niveaux'!A:A,0))</f>
        <v>56</v>
      </c>
      <c r="I26" s="14">
        <f>INDEX('Progression Niveaux'!F:F,MATCH(C26,'Progression Niveaux'!A:A,0))</f>
        <v>37</v>
      </c>
      <c r="J26" s="14">
        <f>G26/D26</f>
        <v>0.32250000000000001</v>
      </c>
      <c r="K26" s="14">
        <f>H26/E26</f>
        <v>0.7</v>
      </c>
      <c r="L26" s="14">
        <f>I26/F26</f>
        <v>0.74</v>
      </c>
      <c r="M26" s="14">
        <f>ROUNDUP(D26/MAX(H26-F26,1),0)</f>
        <v>200</v>
      </c>
      <c r="N26" s="14" t="str">
        <f>IF(AND(J26&gt;=0.3,J26&lt;=5,M26&gt;=2,M26&lt;=30),"✅ OK","⚠️ CHECK")</f>
        <v>⚠️ CHECK</v>
      </c>
    </row>
    <row r="27" spans="1:28" x14ac:dyDescent="0.2">
      <c r="A27" s="13" t="s">
        <v>112</v>
      </c>
      <c r="B27" s="14">
        <v>5</v>
      </c>
      <c r="C27" s="14">
        <v>20</v>
      </c>
      <c r="D27" s="14">
        <f>INDEX(Ennemis!C:C,MATCH(A27,Ennemis!A:A,0))</f>
        <v>1800</v>
      </c>
      <c r="E27" s="14">
        <f>INDEX(Ennemis!D:D,MATCH(A27,Ennemis!A:A,0))</f>
        <v>110</v>
      </c>
      <c r="F27" s="14">
        <f>INDEX(Ennemis!E:E,MATCH(A27,Ennemis!A:A,0))</f>
        <v>75</v>
      </c>
      <c r="G27" s="14">
        <f>INDEX('Progression Niveaux'!D:D,MATCH(C27,'Progression Niveaux'!A:A,0))</f>
        <v>561</v>
      </c>
      <c r="H27" s="14">
        <f>INDEX('Progression Niveaux'!E:E,MATCH(C27,'Progression Niveaux'!A:A,0))</f>
        <v>82</v>
      </c>
      <c r="I27" s="14">
        <f>INDEX('Progression Niveaux'!F:F,MATCH(C27,'Progression Niveaux'!A:A,0))</f>
        <v>58</v>
      </c>
      <c r="J27" s="14">
        <f>G27/D27</f>
        <v>0.31166666666666665</v>
      </c>
      <c r="K27" s="14">
        <f>H27/E27</f>
        <v>0.74545454545454548</v>
      </c>
      <c r="L27" s="14">
        <f>I27/F27</f>
        <v>0.77333333333333332</v>
      </c>
      <c r="M27" s="14">
        <f>ROUNDUP(D27/MAX(H27-F27,1),0)</f>
        <v>258</v>
      </c>
      <c r="N27" s="14" t="str">
        <f>IF(AND(J27&gt;=0.3,J27&lt;=5,M27&gt;=2,M27&lt;=30),"✅ OK","⚠️ CHECK")</f>
        <v>⚠️ CHECK</v>
      </c>
    </row>
    <row r="28" spans="1:28" x14ac:dyDescent="0.2">
      <c r="A28" s="13" t="s">
        <v>113</v>
      </c>
      <c r="B28" s="14">
        <v>5</v>
      </c>
      <c r="C28" s="14">
        <v>20</v>
      </c>
      <c r="D28" s="14">
        <f>INDEX(Ennemis!C:C,MATCH(A28,Ennemis!A:A,0))</f>
        <v>2200</v>
      </c>
      <c r="E28" s="14">
        <f>INDEX(Ennemis!D:D,MATCH(A28,Ennemis!A:A,0))</f>
        <v>125</v>
      </c>
      <c r="F28" s="14">
        <f>INDEX(Ennemis!E:E,MATCH(A28,Ennemis!A:A,0))</f>
        <v>85</v>
      </c>
      <c r="G28" s="14">
        <f>INDEX('Progression Niveaux'!D:D,MATCH(C28,'Progression Niveaux'!A:A,0))</f>
        <v>561</v>
      </c>
      <c r="H28" s="14">
        <f>INDEX('Progression Niveaux'!E:E,MATCH(C28,'Progression Niveaux'!A:A,0))</f>
        <v>82</v>
      </c>
      <c r="I28" s="14">
        <f>INDEX('Progression Niveaux'!F:F,MATCH(C28,'Progression Niveaux'!A:A,0))</f>
        <v>58</v>
      </c>
      <c r="J28" s="14">
        <f>G28/D28</f>
        <v>0.255</v>
      </c>
      <c r="K28" s="14">
        <f>H28/E28</f>
        <v>0.65600000000000003</v>
      </c>
      <c r="L28" s="14">
        <f>I28/F28</f>
        <v>0.68235294117647061</v>
      </c>
      <c r="M28" s="14">
        <f>ROUNDUP(D28/MAX(H28-F28,1),0)</f>
        <v>2200</v>
      </c>
      <c r="N28" s="14" t="str">
        <f>IF(AND(J28&gt;=0.3,J28&lt;=5,M28&gt;=2,M28&lt;=30),"✅ OK","⚠️ CHECK")</f>
        <v>⚠️ CHECK</v>
      </c>
    </row>
    <row r="29" spans="1:28" x14ac:dyDescent="0.2">
      <c r="A29" s="13" t="s">
        <v>114</v>
      </c>
      <c r="B29" s="14">
        <v>5</v>
      </c>
      <c r="C29" s="14">
        <v>20</v>
      </c>
      <c r="D29" s="14">
        <f>INDEX(Ennemis!C:C,MATCH(A29,Ennemis!A:A,0))</f>
        <v>2600</v>
      </c>
      <c r="E29" s="14">
        <f>INDEX(Ennemis!D:D,MATCH(A29,Ennemis!A:A,0))</f>
        <v>135</v>
      </c>
      <c r="F29" s="14">
        <f>INDEX(Ennemis!E:E,MATCH(A29,Ennemis!A:A,0))</f>
        <v>95</v>
      </c>
      <c r="G29" s="14">
        <f>INDEX('Progression Niveaux'!D:D,MATCH(C29,'Progression Niveaux'!A:A,0))</f>
        <v>561</v>
      </c>
      <c r="H29" s="14">
        <f>INDEX('Progression Niveaux'!E:E,MATCH(C29,'Progression Niveaux'!A:A,0))</f>
        <v>82</v>
      </c>
      <c r="I29" s="14">
        <f>INDEX('Progression Niveaux'!F:F,MATCH(C29,'Progression Niveaux'!A:A,0))</f>
        <v>58</v>
      </c>
      <c r="J29" s="14">
        <f>G29/D29</f>
        <v>0.21576923076923077</v>
      </c>
      <c r="K29" s="14">
        <f>H29/E29</f>
        <v>0.6074074074074074</v>
      </c>
      <c r="L29" s="14">
        <f>I29/F29</f>
        <v>0.61052631578947369</v>
      </c>
      <c r="M29" s="14">
        <f>ROUNDUP(D29/MAX(H29-F29,1),0)</f>
        <v>2600</v>
      </c>
      <c r="N29" s="14" t="str">
        <f>IF(AND(J29&gt;=0.3,J29&lt;=5,M29&gt;=2,M29&lt;=30),"✅ OK","⚠️ CHECK")</f>
        <v>⚠️ CHECK</v>
      </c>
    </row>
    <row r="30" spans="1:28" x14ac:dyDescent="0.2">
      <c r="A30" s="13" t="s">
        <v>115</v>
      </c>
      <c r="B30" s="14">
        <v>6</v>
      </c>
      <c r="C30" s="14">
        <v>29</v>
      </c>
      <c r="D30" s="14">
        <f>INDEX(Ennemis!C:C,MATCH(A30,Ennemis!A:A,0))</f>
        <v>3200</v>
      </c>
      <c r="E30" s="14">
        <f>INDEX(Ennemis!D:D,MATCH(A30,Ennemis!A:A,0))</f>
        <v>155</v>
      </c>
      <c r="F30" s="14">
        <f>INDEX(Ennemis!E:E,MATCH(A30,Ennemis!A:A,0))</f>
        <v>110</v>
      </c>
      <c r="G30" s="14">
        <f>INDEX('Progression Niveaux'!D:D,MATCH(C30,'Progression Niveaux'!A:A,0))</f>
        <v>968</v>
      </c>
      <c r="H30" s="14">
        <f>INDEX('Progression Niveaux'!E:E,MATCH(C30,'Progression Niveaux'!A:A,0))</f>
        <v>141</v>
      </c>
      <c r="I30" s="14">
        <f>INDEX('Progression Niveaux'!F:F,MATCH(C30,'Progression Niveaux'!A:A,0))</f>
        <v>108</v>
      </c>
      <c r="J30" s="14">
        <f>G30/D30</f>
        <v>0.30249999999999999</v>
      </c>
      <c r="K30" s="14">
        <f>H30/E30</f>
        <v>0.9096774193548387</v>
      </c>
      <c r="L30" s="14">
        <f>I30/F30</f>
        <v>0.98181818181818181</v>
      </c>
      <c r="M30" s="14">
        <f>ROUNDUP(D30/MAX(H30-F30,1),0)</f>
        <v>104</v>
      </c>
      <c r="N30" s="14" t="str">
        <f>IF(AND(J30&gt;=0.3,J30&lt;=5,M30&gt;=2,M30&lt;=30),"✅ OK","⚠️ CHECK")</f>
        <v>⚠️ CHECK</v>
      </c>
    </row>
    <row r="31" spans="1:28" x14ac:dyDescent="0.2">
      <c r="A31" s="13" t="s">
        <v>116</v>
      </c>
      <c r="B31" s="14">
        <v>6</v>
      </c>
      <c r="C31" s="14">
        <v>29</v>
      </c>
      <c r="D31" s="14">
        <f>INDEX(Ennemis!C:C,MATCH(A31,Ennemis!A:A,0))</f>
        <v>3500</v>
      </c>
      <c r="E31" s="14">
        <f>INDEX(Ennemis!D:D,MATCH(A31,Ennemis!A:A,0))</f>
        <v>168</v>
      </c>
      <c r="F31" s="14">
        <f>INDEX(Ennemis!E:E,MATCH(A31,Ennemis!A:A,0))</f>
        <v>112</v>
      </c>
      <c r="G31" s="14">
        <f>INDEX('Progression Niveaux'!D:D,MATCH(C31,'Progression Niveaux'!A:A,0))</f>
        <v>968</v>
      </c>
      <c r="H31" s="14">
        <f>INDEX('Progression Niveaux'!E:E,MATCH(C31,'Progression Niveaux'!A:A,0))</f>
        <v>141</v>
      </c>
      <c r="I31" s="14">
        <f>INDEX('Progression Niveaux'!F:F,MATCH(C31,'Progression Niveaux'!A:A,0))</f>
        <v>108</v>
      </c>
      <c r="J31" s="14">
        <f>G31/D31</f>
        <v>0.27657142857142858</v>
      </c>
      <c r="K31" s="14">
        <f>H31/E31</f>
        <v>0.8392857142857143</v>
      </c>
      <c r="L31" s="14">
        <f>I31/F31</f>
        <v>0.9642857142857143</v>
      </c>
      <c r="M31" s="14">
        <f>ROUNDUP(D31/MAX(H31-F31,1),0)</f>
        <v>121</v>
      </c>
      <c r="N31" s="14" t="str">
        <f>IF(AND(J31&gt;=0.3,J31&lt;=5,M31&gt;=2,M31&lt;=30),"✅ OK","⚠️ CHECK")</f>
        <v>⚠️ CHECK</v>
      </c>
    </row>
    <row r="32" spans="1:28" x14ac:dyDescent="0.2">
      <c r="A32" s="13" t="s">
        <v>117</v>
      </c>
      <c r="B32" s="14">
        <v>6</v>
      </c>
      <c r="C32" s="14">
        <v>29</v>
      </c>
      <c r="D32" s="14">
        <f>INDEX(Ennemis!C:C,MATCH(A32,Ennemis!A:A,0))</f>
        <v>3900</v>
      </c>
      <c r="E32" s="14">
        <f>INDEX(Ennemis!D:D,MATCH(A32,Ennemis!A:A,0))</f>
        <v>175</v>
      </c>
      <c r="F32" s="14">
        <f>INDEX(Ennemis!E:E,MATCH(A32,Ennemis!A:A,0))</f>
        <v>120</v>
      </c>
      <c r="G32" s="14">
        <f>INDEX('Progression Niveaux'!D:D,MATCH(C32,'Progression Niveaux'!A:A,0))</f>
        <v>968</v>
      </c>
      <c r="H32" s="14">
        <f>INDEX('Progression Niveaux'!E:E,MATCH(C32,'Progression Niveaux'!A:A,0))</f>
        <v>141</v>
      </c>
      <c r="I32" s="14">
        <f>INDEX('Progression Niveaux'!F:F,MATCH(C32,'Progression Niveaux'!A:A,0))</f>
        <v>108</v>
      </c>
      <c r="J32" s="14">
        <f>G32/D32</f>
        <v>0.24820512820512822</v>
      </c>
      <c r="K32" s="14">
        <f>H32/E32</f>
        <v>0.80571428571428572</v>
      </c>
      <c r="L32" s="14">
        <f>I32/F32</f>
        <v>0.9</v>
      </c>
      <c r="M32" s="14">
        <f>ROUNDUP(D32/MAX(H32-F32,1),0)</f>
        <v>186</v>
      </c>
      <c r="N32" s="14" t="str">
        <f>IF(AND(J32&gt;=0.3,J32&lt;=5,M32&gt;=2,M32&lt;=30),"✅ OK","⚠️ CHECK")</f>
        <v>⚠️ CHECK</v>
      </c>
    </row>
    <row r="33" spans="1:14" x14ac:dyDescent="0.2">
      <c r="A33" s="13" t="s">
        <v>118</v>
      </c>
      <c r="B33" s="14">
        <v>6</v>
      </c>
      <c r="C33" s="14">
        <v>29</v>
      </c>
      <c r="D33" s="14">
        <f>INDEX(Ennemis!C:C,MATCH(A33,Ennemis!A:A,0))</f>
        <v>4700</v>
      </c>
      <c r="E33" s="14">
        <f>INDEX(Ennemis!D:D,MATCH(A33,Ennemis!A:A,0))</f>
        <v>195</v>
      </c>
      <c r="F33" s="14">
        <f>INDEX(Ennemis!E:E,MATCH(A33,Ennemis!A:A,0))</f>
        <v>135</v>
      </c>
      <c r="G33" s="14">
        <f>INDEX('Progression Niveaux'!D:D,MATCH(C33,'Progression Niveaux'!A:A,0))</f>
        <v>968</v>
      </c>
      <c r="H33" s="14">
        <f>INDEX('Progression Niveaux'!E:E,MATCH(C33,'Progression Niveaux'!A:A,0))</f>
        <v>141</v>
      </c>
      <c r="I33" s="14">
        <f>INDEX('Progression Niveaux'!F:F,MATCH(C33,'Progression Niveaux'!A:A,0))</f>
        <v>108</v>
      </c>
      <c r="J33" s="14">
        <f>G33/D33</f>
        <v>0.20595744680851064</v>
      </c>
      <c r="K33" s="14">
        <f>H33/E33</f>
        <v>0.72307692307692306</v>
      </c>
      <c r="L33" s="14">
        <f>I33/F33</f>
        <v>0.8</v>
      </c>
      <c r="M33" s="14">
        <f>ROUNDUP(D33/MAX(H33-F33,1),0)</f>
        <v>784</v>
      </c>
      <c r="N33" s="14" t="str">
        <f>IF(AND(J33&gt;=0.3,J33&lt;=5,M33&gt;=2,M33&lt;=30),"✅ OK","⚠️ CHECK")</f>
        <v>⚠️ CHECK</v>
      </c>
    </row>
    <row r="34" spans="1:14" x14ac:dyDescent="0.2">
      <c r="A34" s="13" t="s">
        <v>119</v>
      </c>
      <c r="B34" s="14">
        <v>7</v>
      </c>
      <c r="C34" s="14">
        <v>40</v>
      </c>
      <c r="D34" s="14">
        <f>INDEX(Ennemis!C:C,MATCH(A34,Ennemis!A:A,0))</f>
        <v>6200</v>
      </c>
      <c r="E34" s="14">
        <f>INDEX(Ennemis!D:D,MATCH(A34,Ennemis!A:A,0))</f>
        <v>230</v>
      </c>
      <c r="F34" s="14">
        <f>INDEX(Ennemis!E:E,MATCH(A34,Ennemis!A:A,0))</f>
        <v>165</v>
      </c>
      <c r="G34" s="14">
        <f>INDEX('Progression Niveaux'!D:D,MATCH(C34,'Progression Niveaux'!A:A,0))</f>
        <v>1631</v>
      </c>
      <c r="H34" s="14">
        <f>INDEX('Progression Niveaux'!E:E,MATCH(C34,'Progression Niveaux'!A:A,0))</f>
        <v>236</v>
      </c>
      <c r="I34" s="14">
        <f>INDEX('Progression Niveaux'!F:F,MATCH(C34,'Progression Niveaux'!A:A,0))</f>
        <v>192</v>
      </c>
      <c r="J34" s="14">
        <f>G34/D34</f>
        <v>0.26306451612903226</v>
      </c>
      <c r="K34" s="14">
        <f>H34/E34</f>
        <v>1.0260869565217392</v>
      </c>
      <c r="L34" s="14">
        <f>I34/F34</f>
        <v>1.1636363636363636</v>
      </c>
      <c r="M34" s="14">
        <f>ROUNDUP(D34/MAX(H34-F34,1),0)</f>
        <v>88</v>
      </c>
      <c r="N34" s="14" t="str">
        <f>IF(AND(J34&gt;=0.3,J34&lt;=5,M34&gt;=2,M34&lt;=30),"✅ OK","⚠️ CHECK")</f>
        <v>⚠️ CHECK</v>
      </c>
    </row>
    <row r="35" spans="1:14" x14ac:dyDescent="0.2">
      <c r="A35" s="13" t="s">
        <v>120</v>
      </c>
      <c r="B35" s="14">
        <v>7</v>
      </c>
      <c r="C35" s="14">
        <v>40</v>
      </c>
      <c r="D35" s="14">
        <f>INDEX(Ennemis!C:C,MATCH(A35,Ennemis!A:A,0))</f>
        <v>7800</v>
      </c>
      <c r="E35" s="14">
        <f>INDEX(Ennemis!D:D,MATCH(A35,Ennemis!A:A,0))</f>
        <v>255</v>
      </c>
      <c r="F35" s="14">
        <f>INDEX(Ennemis!E:E,MATCH(A35,Ennemis!A:A,0))</f>
        <v>185</v>
      </c>
      <c r="G35" s="14">
        <f>INDEX('Progression Niveaux'!D:D,MATCH(C35,'Progression Niveaux'!A:A,0))</f>
        <v>1631</v>
      </c>
      <c r="H35" s="14">
        <f>INDEX('Progression Niveaux'!E:E,MATCH(C35,'Progression Niveaux'!A:A,0))</f>
        <v>236</v>
      </c>
      <c r="I35" s="14">
        <f>INDEX('Progression Niveaux'!F:F,MATCH(C35,'Progression Niveaux'!A:A,0))</f>
        <v>192</v>
      </c>
      <c r="J35" s="14">
        <f>G35/D35</f>
        <v>0.20910256410256411</v>
      </c>
      <c r="K35" s="14">
        <f>H35/E35</f>
        <v>0.92549019607843142</v>
      </c>
      <c r="L35" s="14">
        <f>I35/F35</f>
        <v>1.0378378378378379</v>
      </c>
      <c r="M35" s="14">
        <f>ROUNDUP(D35/MAX(H35-F35,1),0)</f>
        <v>153</v>
      </c>
      <c r="N35" s="14" t="str">
        <f>IF(AND(J35&gt;=0.3,J35&lt;=5,M35&gt;=2,M35&lt;=30),"✅ OK","⚠️ CHECK")</f>
        <v>⚠️ CHECK</v>
      </c>
    </row>
    <row r="36" spans="1:14" x14ac:dyDescent="0.2">
      <c r="A36" s="13" t="s">
        <v>121</v>
      </c>
      <c r="B36" s="14">
        <v>7</v>
      </c>
      <c r="C36" s="14">
        <v>40</v>
      </c>
      <c r="D36" s="14">
        <f>INDEX(Ennemis!C:C,MATCH(A36,Ennemis!A:A,0))</f>
        <v>9800</v>
      </c>
      <c r="E36" s="14">
        <f>INDEX(Ennemis!D:D,MATCH(A36,Ennemis!A:A,0))</f>
        <v>285</v>
      </c>
      <c r="F36" s="14">
        <f>INDEX(Ennemis!E:E,MATCH(A36,Ennemis!A:A,0))</f>
        <v>220</v>
      </c>
      <c r="G36" s="14">
        <f>INDEX('Progression Niveaux'!D:D,MATCH(C36,'Progression Niveaux'!A:A,0))</f>
        <v>1631</v>
      </c>
      <c r="H36" s="14">
        <f>INDEX('Progression Niveaux'!E:E,MATCH(C36,'Progression Niveaux'!A:A,0))</f>
        <v>236</v>
      </c>
      <c r="I36" s="14">
        <f>INDEX('Progression Niveaux'!F:F,MATCH(C36,'Progression Niveaux'!A:A,0))</f>
        <v>192</v>
      </c>
      <c r="J36" s="14">
        <f>G36/D36</f>
        <v>0.16642857142857143</v>
      </c>
      <c r="K36" s="14">
        <f>H36/E36</f>
        <v>0.82807017543859651</v>
      </c>
      <c r="L36" s="14">
        <f>I36/F36</f>
        <v>0.87272727272727268</v>
      </c>
      <c r="M36" s="14">
        <f>ROUNDUP(D36/MAX(H36-F36,1),0)</f>
        <v>613</v>
      </c>
      <c r="N36" s="14" t="str">
        <f>IF(AND(J36&gt;=0.3,J36&lt;=5,M36&gt;=2,M36&lt;=30),"✅ OK","⚠️ CHECK")</f>
        <v>⚠️ CHECK</v>
      </c>
    </row>
    <row r="38" spans="1:14" ht="8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7" x14ac:dyDescent="0.2">
      <c r="A39" s="5" t="s">
        <v>280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">
      <c r="A40" s="12" t="s">
        <v>281</v>
      </c>
      <c r="B40" s="12" t="s">
        <v>282</v>
      </c>
      <c r="C40" s="12" t="s">
        <v>283</v>
      </c>
      <c r="D40" s="12" t="s">
        <v>284</v>
      </c>
      <c r="E40" s="12" t="s">
        <v>285</v>
      </c>
      <c r="F40" s="12" t="s">
        <v>286</v>
      </c>
      <c r="G40" s="12" t="s">
        <v>287</v>
      </c>
      <c r="H40" s="12" t="s">
        <v>288</v>
      </c>
      <c r="I40" s="12" t="s">
        <v>289</v>
      </c>
      <c r="J40" s="12" t="s">
        <v>290</v>
      </c>
      <c r="K40" s="12" t="s">
        <v>291</v>
      </c>
      <c r="L40" s="12" t="s">
        <v>292</v>
      </c>
    </row>
    <row r="41" spans="1:14" x14ac:dyDescent="0.2">
      <c r="A41" s="14" t="s">
        <v>293</v>
      </c>
      <c r="B41" s="13">
        <f>(AVERAGEIFS(Ennemis!G:G,Ennemis!B:B,1)+AVERAGEIFS(Ennemis!H:H,Ennemis!B:B,1))/2</f>
        <v>11.333333333333334</v>
      </c>
      <c r="C41" s="13" t="str">
        <f>INDEX(Items!A:A,MATCH(_xlfn.MAXIFS(Items!D:D,Items!B:B,"weapon",Items!C:C,"common"),Items!D:D,0))</f>
        <v>Budget Arms Unity+</v>
      </c>
      <c r="D41" s="13">
        <f>_xlfn.MAXIFS(Items!D:D,Items!B:B,"weapon",Items!C:C,"common")</f>
        <v>350</v>
      </c>
      <c r="E41" s="13" t="str">
        <f>INDEX(Items!A:A,MATCH(_xlfn.MAXIFS(Items!D:D,Items!B:B,"armor",Items!C:C,"common"),Items!D:D,0))</f>
        <v>Tyger Claws Reinforced Coat</v>
      </c>
      <c r="F41" s="13">
        <f>_xlfn.MAXIFS(Items!D:D,Items!B:B,"armor",Items!C:C,"common")</f>
        <v>300</v>
      </c>
      <c r="G41" s="13" t="str">
        <f>INDEX(Items!A:A,MATCH(_xlfn.MAXIFS(Items!D:D,Items!B:B,"implant",Items!C:C,"common"),Items!D:D,0))</f>
        <v>Nanoweave Jacket</v>
      </c>
      <c r="H41" s="13">
        <f>_xlfn.MAXIFS(Items!D:D,Items!B:B,"implant",Items!C:C,"common")</f>
        <v>400</v>
      </c>
      <c r="I41" s="13">
        <f>D41+F41+H41</f>
        <v>1050</v>
      </c>
      <c r="J41" s="13">
        <f>ROUNDUP(I41/B41,0)</f>
        <v>93</v>
      </c>
      <c r="K41" s="13">
        <f>AVERAGEIFS(Ennemis!F:F,Ennemis!B:B,1)</f>
        <v>11</v>
      </c>
      <c r="L41" s="13">
        <f>ROUND(J41/60,1)</f>
        <v>1.6</v>
      </c>
    </row>
    <row r="42" spans="1:14" x14ac:dyDescent="0.2">
      <c r="A42" s="14" t="s">
        <v>294</v>
      </c>
      <c r="B42" s="13">
        <f>(AVERAGEIFS(Ennemis!G:G,Ennemis!B:B,2)+AVERAGEIFS(Ennemis!H:H,Ennemis!B:B,2))/2</f>
        <v>35</v>
      </c>
      <c r="C42" s="13" t="str">
        <f>INDEX(Items!A:A,MATCH(_xlfn.MAXIFS(Items!D:D,Items!B:B,"weapon",Items!C:C,"uncommon"),Items!D:D,0))</f>
        <v>Kang Tao Shock Carbine</v>
      </c>
      <c r="D42" s="13">
        <f>_xlfn.MAXIFS(Items!D:D,Items!B:B,"weapon",Items!C:C,"uncommon")</f>
        <v>1400</v>
      </c>
      <c r="E42" s="13" t="str">
        <f>INDEX(Items!A:A,MATCH(_xlfn.MAXIFS(Items!D:D,Items!B:B,"armor",Items!C:C,"uncommon"),Items!D:D,0))</f>
        <v>Trauma Team Ballistic Mesh</v>
      </c>
      <c r="F42" s="13">
        <f>_xlfn.MAXIFS(Items!D:D,Items!B:B,"armor",Items!C:C,"uncommon")</f>
        <v>1250</v>
      </c>
      <c r="G42" s="13" t="str">
        <f>INDEX(Items!A:A,MATCH(_xlfn.MAXIFS(Items!D:D,Items!B:B,"implant",Items!C:C,"uncommon"),Items!D:D,0))</f>
        <v>Sandevistan Lite</v>
      </c>
      <c r="H42" s="13">
        <f>_xlfn.MAXIFS(Items!D:D,Items!B:B,"implant",Items!C:C,"uncommon")</f>
        <v>1600</v>
      </c>
      <c r="I42" s="13">
        <f>D42+F42+H42</f>
        <v>4250</v>
      </c>
      <c r="J42" s="13">
        <f>ROUNDUP(I42/B42,0)</f>
        <v>122</v>
      </c>
      <c r="K42" s="13">
        <f>AVERAGEIFS(Ennemis!F:F,Ennemis!B:B,2)</f>
        <v>30</v>
      </c>
      <c r="L42" s="13">
        <f>ROUND(J42/60,1)</f>
        <v>2</v>
      </c>
    </row>
    <row r="43" spans="1:14" x14ac:dyDescent="0.2">
      <c r="A43" s="14" t="s">
        <v>295</v>
      </c>
      <c r="B43" s="13">
        <f>(AVERAGEIFS(Ennemis!G:G,Ennemis!B:B,3)+AVERAGEIFS(Ennemis!H:H,Ennemis!B:B,3))/2</f>
        <v>110</v>
      </c>
      <c r="C43" s="13" t="str">
        <f>INDEX(Items!A:A,MATCH(_xlfn.MAXIFS(Items!D:D,Items!B:B,"weapon",Items!C:C,"rare"),Items!D:D,0))</f>
        <v>Militech Crusher Custom</v>
      </c>
      <c r="D43" s="13">
        <f>_xlfn.MAXIFS(Items!D:D,Items!B:B,"weapon",Items!C:C,"rare")</f>
        <v>8500</v>
      </c>
      <c r="E43" s="13" t="str">
        <f>INDEX(Items!A:A,MATCH(_xlfn.MAXIFS(Items!D:D,Items!B:B,"armor",Items!C:C,"rare"),Items!D:D,0))</f>
        <v>Militech Bastion Frame</v>
      </c>
      <c r="F43" s="13">
        <f>_xlfn.MAXIFS(Items!D:D,Items!B:B,"armor",Items!C:C,"rare")</f>
        <v>7800</v>
      </c>
      <c r="G43" s="13" t="str">
        <f>INDEX(Items!A:A,MATCH(_xlfn.MAXIFS(Items!D:D,Items!B:B,"implant",Items!C:C,"rare"),Items!D:D,0))</f>
        <v>QianT Synapse Rail</v>
      </c>
      <c r="H43" s="13">
        <f>_xlfn.MAXIFS(Items!D:D,Items!B:B,"implant",Items!C:C,"rare")</f>
        <v>9200</v>
      </c>
      <c r="I43" s="13">
        <f>D43+F43+H43</f>
        <v>25500</v>
      </c>
      <c r="J43" s="13">
        <f>ROUNDUP(I43/B43,0)</f>
        <v>232</v>
      </c>
      <c r="K43" s="13">
        <f>AVERAGEIFS(Ennemis!F:F,Ennemis!B:B,3)</f>
        <v>70</v>
      </c>
      <c r="L43" s="13">
        <f>ROUND(J43/60,1)</f>
        <v>3.9</v>
      </c>
    </row>
    <row r="44" spans="1:14" x14ac:dyDescent="0.2">
      <c r="A44" s="14" t="s">
        <v>296</v>
      </c>
      <c r="B44" s="13">
        <f>(AVERAGEIFS(Ennemis!G:G,Ennemis!B:B,4)+AVERAGEIFS(Ennemis!H:H,Ennemis!B:B,4))/2</f>
        <v>1183.3333333333335</v>
      </c>
      <c r="C44" s="13" t="str">
        <f>INDEX(Items!A:A,MATCH(_xlfn.MAXIFS(Items!D:D,Items!B:B,"weapon",Items!C:C,"rare"),Items!D:D,0))</f>
        <v>Militech Crusher Custom</v>
      </c>
      <c r="D44" s="13">
        <f>_xlfn.MAXIFS(Items!D:D,Items!B:B,"weapon",Items!C:C,"rare")</f>
        <v>8500</v>
      </c>
      <c r="E44" s="13" t="str">
        <f>INDEX(Items!A:A,MATCH(_xlfn.MAXIFS(Items!D:D,Items!B:B,"armor",Items!C:C,"rare"),Items!D:D,0))</f>
        <v>Militech Bastion Frame</v>
      </c>
      <c r="F44" s="13">
        <f>_xlfn.MAXIFS(Items!D:D,Items!B:B,"armor",Items!C:C,"rare")</f>
        <v>7800</v>
      </c>
      <c r="G44" s="13" t="str">
        <f>INDEX(Items!A:A,MATCH(_xlfn.MAXIFS(Items!D:D,Items!B:B,"implant",Items!C:C,"rare"),Items!D:D,0))</f>
        <v>QianT Synapse Rail</v>
      </c>
      <c r="H44" s="13">
        <f>_xlfn.MAXIFS(Items!D:D,Items!B:B,"implant",Items!C:C,"rare")</f>
        <v>9200</v>
      </c>
      <c r="I44" s="13">
        <f>D44+F44+H44</f>
        <v>25500</v>
      </c>
      <c r="J44" s="13">
        <f>ROUNDUP(I44/B44,0)</f>
        <v>22</v>
      </c>
      <c r="K44" s="13">
        <f>AVERAGEIFS(Ennemis!F:F,Ennemis!B:B,4)</f>
        <v>350</v>
      </c>
      <c r="L44" s="13">
        <f>ROUND(J44/60,1)</f>
        <v>0.4</v>
      </c>
    </row>
    <row r="45" spans="1:14" x14ac:dyDescent="0.2">
      <c r="A45" s="14" t="s">
        <v>297</v>
      </c>
      <c r="B45" s="13">
        <f>(AVERAGEIFS(Ennemis!G:G,Ennemis!B:B,5)+AVERAGEIFS(Ennemis!H:H,Ennemis!B:B,5))/2</f>
        <v>5950</v>
      </c>
      <c r="C45" s="13" t="str">
        <f>INDEX(Items!A:A,MATCH(_xlfn.MAXIFS(Items!D:D,Items!B:B,"weapon",Items!C:C,"epic"),Items!D:D,0))</f>
        <v>Arasaka Revenant Smartgun</v>
      </c>
      <c r="D45" s="13">
        <f>_xlfn.MAXIFS(Items!D:D,Items!B:B,"weapon",Items!C:C,"epic")</f>
        <v>52000</v>
      </c>
      <c r="E45" s="13" t="str">
        <f>INDEX(Items!A:A,MATCH(_xlfn.MAXIFS(Items!D:D,Items!B:B,"armor",Items!C:C,"epic"),Items!D:D,0))</f>
        <v>Arasaka Specter Weave</v>
      </c>
      <c r="F45" s="13">
        <f>_xlfn.MAXIFS(Items!D:D,Items!B:B,"armor",Items!C:C,"epic")</f>
        <v>47000</v>
      </c>
      <c r="G45" s="13" t="str">
        <f>INDEX(Items!A:A,MATCH(_xlfn.MAXIFS(Items!D:D,Items!B:B,"implant",Items!C:C,"epic"),Items!D:D,0))</f>
        <v>Mantis Driver Suite</v>
      </c>
      <c r="H45" s="13">
        <f>_xlfn.MAXIFS(Items!D:D,Items!B:B,"implant",Items!C:C,"epic")</f>
        <v>56000</v>
      </c>
      <c r="I45" s="13">
        <f>D45+F45+H45</f>
        <v>155000</v>
      </c>
      <c r="J45" s="13">
        <f>ROUNDUP(I45/B45,0)</f>
        <v>27</v>
      </c>
      <c r="K45" s="13">
        <f>AVERAGEIFS(Ennemis!F:F,Ennemis!B:B,5)</f>
        <v>730</v>
      </c>
      <c r="L45" s="13">
        <f>ROUND(J45/60,1)</f>
        <v>0.5</v>
      </c>
    </row>
    <row r="46" spans="1:14" x14ac:dyDescent="0.2">
      <c r="A46" s="14" t="s">
        <v>298</v>
      </c>
      <c r="B46" s="13">
        <f>(AVERAGEIFS(Ennemis!G:G,Ennemis!B:B,6)+AVERAGEIFS(Ennemis!H:H,Ennemis!B:B,6))/2</f>
        <v>11700</v>
      </c>
      <c r="C46" s="13" t="str">
        <f>INDEX(Items!A:A,MATCH(_xlfn.MAXIFS(Items!D:D,Items!B:B,"weapon",Items!C:C,"epic"),Items!D:D,0))</f>
        <v>Arasaka Revenant Smartgun</v>
      </c>
      <c r="D46" s="13">
        <f>_xlfn.MAXIFS(Items!D:D,Items!B:B,"weapon",Items!C:C,"epic")</f>
        <v>52000</v>
      </c>
      <c r="E46" s="13" t="str">
        <f>INDEX(Items!A:A,MATCH(_xlfn.MAXIFS(Items!D:D,Items!B:B,"armor",Items!C:C,"epic"),Items!D:D,0))</f>
        <v>Arasaka Specter Weave</v>
      </c>
      <c r="F46" s="13">
        <f>_xlfn.MAXIFS(Items!D:D,Items!B:B,"armor",Items!C:C,"epic")</f>
        <v>47000</v>
      </c>
      <c r="G46" s="13" t="str">
        <f>INDEX(Items!A:A,MATCH(_xlfn.MAXIFS(Items!D:D,Items!B:B,"implant",Items!C:C,"epic"),Items!D:D,0))</f>
        <v>Mantis Driver Suite</v>
      </c>
      <c r="H46" s="13">
        <f>_xlfn.MAXIFS(Items!D:D,Items!B:B,"implant",Items!C:C,"epic")</f>
        <v>56000</v>
      </c>
      <c r="I46" s="13">
        <f>D46+F46+H46</f>
        <v>155000</v>
      </c>
      <c r="J46" s="13">
        <f>ROUNDUP(I46/B46,0)</f>
        <v>14</v>
      </c>
      <c r="K46" s="13">
        <f>AVERAGEIFS(Ennemis!F:F,Ennemis!B:B,6)</f>
        <v>1138.75</v>
      </c>
      <c r="L46" s="13">
        <f>ROUND(J46/60,1)</f>
        <v>0.2</v>
      </c>
    </row>
    <row r="47" spans="1:14" x14ac:dyDescent="0.2">
      <c r="A47" s="14" t="s">
        <v>299</v>
      </c>
      <c r="B47" s="13">
        <f>(AVERAGEIFS(Ennemis!G:G,Ennemis!B:B,7)+AVERAGEIFS(Ennemis!H:H,Ennemis!B:B,7))/2</f>
        <v>33500</v>
      </c>
      <c r="C47" s="13" t="str">
        <f>INDEX(Items!A:A,MATCH(_xlfn.MAXIFS(Items!D:D,Items!B:B,"weapon",Items!C:C,"legendary"),Items!D:D,0))</f>
        <v>Blackwall Breacher</v>
      </c>
      <c r="D47" s="13">
        <f>_xlfn.MAXIFS(Items!D:D,Items!B:B,"weapon",Items!C:C,"legendary")</f>
        <v>240000</v>
      </c>
      <c r="E47" s="13" t="str">
        <f>INDEX(Items!A:A,MATCH(_xlfn.MAXIFS(Items!D:D,Items!B:B,"armor",Items!C:C,"legendary"),Items!D:D,0))</f>
        <v>Mikoshi Nullskin</v>
      </c>
      <c r="F47" s="13">
        <f>_xlfn.MAXIFS(Items!D:D,Items!B:B,"armor",Items!C:C,"legendary")</f>
        <v>210000</v>
      </c>
      <c r="G47" s="13" t="str">
        <f>INDEX(Items!A:A,MATCH(_xlfn.MAXIFS(Items!D:D,Items!B:B,"implant",Items!C:C,"legendary"),Items!D:D,0))</f>
        <v>Militech Apogee Sandevistan</v>
      </c>
      <c r="H47" s="13">
        <f>_xlfn.MAXIFS(Items!D:D,Items!B:B,"implant",Items!C:C,"legendary")</f>
        <v>320000</v>
      </c>
      <c r="I47" s="13">
        <f>D47+F47+H47</f>
        <v>770000</v>
      </c>
      <c r="J47" s="13">
        <f>ROUNDUP(I47/B47,0)</f>
        <v>23</v>
      </c>
      <c r="K47" s="13">
        <f>AVERAGEIFS(Ennemis!F:F,Ennemis!B:B,7)</f>
        <v>2250</v>
      </c>
      <c r="L47" s="13">
        <f>ROUND(J47/60,1)</f>
        <v>0.4</v>
      </c>
    </row>
    <row r="49" spans="1:14" ht="8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7" x14ac:dyDescent="0.2">
      <c r="A50" s="16" t="s">
        <v>300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x14ac:dyDescent="0.2">
      <c r="A51" s="12" t="s">
        <v>122</v>
      </c>
      <c r="B51" s="12" t="s">
        <v>91</v>
      </c>
      <c r="C51" s="12" t="s">
        <v>282</v>
      </c>
      <c r="D51" s="12" t="s">
        <v>301</v>
      </c>
      <c r="E51" s="12" t="s">
        <v>302</v>
      </c>
      <c r="F51" s="12" t="s">
        <v>303</v>
      </c>
      <c r="G51" s="12" t="s">
        <v>304</v>
      </c>
      <c r="H51" s="12" t="s">
        <v>305</v>
      </c>
      <c r="I51" s="12" t="s">
        <v>306</v>
      </c>
      <c r="J51" s="12" t="s">
        <v>307</v>
      </c>
      <c r="K51" s="12" t="s">
        <v>308</v>
      </c>
      <c r="L51" s="12" t="s">
        <v>309</v>
      </c>
    </row>
    <row r="52" spans="1:14" x14ac:dyDescent="0.2">
      <c r="A52" s="13" t="s">
        <v>100</v>
      </c>
      <c r="B52" s="14">
        <f>INDEX(Ennemis!B:B,MATCH(A52,Ennemis!A:A,0))</f>
        <v>1</v>
      </c>
      <c r="C52" s="14">
        <f>(INDEX(Ennemis!G:G,MATCH(A52,Ennemis!A:A,0))+INDEX(Ennemis!H:H,MATCH(A52,Ennemis!A:A,0)))/2</f>
        <v>10</v>
      </c>
      <c r="D52" s="13" t="str">
        <f>IFERROR(INDEX('Loot Table'!B:B,MATCH(A52,'Loot Table'!A:A,0)),"-")</f>
        <v>Stim Pack</v>
      </c>
      <c r="E52" s="13">
        <f>IFERROR(INDEX('Loot Table'!C:C,MATCH(A52,'Loot Table'!A:A,0)),0)</f>
        <v>0.3</v>
      </c>
      <c r="F52" s="13">
        <f>IFERROR(INDEX(Items!D:D,MATCH(D52,Items!A:A,0)),0)</f>
        <v>25</v>
      </c>
      <c r="G52" s="13" t="str" cm="1">
        <f t="array" ref="G52">IFERROR(INDEX('Loot Table'!B:B,MATCH(A52,'Loot Table'!A:A,0)+1),"-")</f>
        <v>Finger Servos</v>
      </c>
      <c r="H52" s="13" cm="1">
        <f t="array" ref="H52">IFERROR(INDEX('Loot Table'!C:C,MATCH(A52,'Loot Table'!A:A,0)+1),0)</f>
        <v>0.1</v>
      </c>
      <c r="I52" s="13">
        <f>IFERROR(INDEX(Items!D:D,MATCH(G52,Items!A:A,0)),0)</f>
        <v>5000</v>
      </c>
      <c r="J52" s="13">
        <f>E52*F52+H52*I52</f>
        <v>507.5</v>
      </c>
      <c r="K52" s="13">
        <f>C52+J52</f>
        <v>517.5</v>
      </c>
      <c r="L52" s="13">
        <f>IF(C52&gt;0,J52/C52,0)</f>
        <v>50.75</v>
      </c>
    </row>
    <row r="53" spans="1:14" x14ac:dyDescent="0.2">
      <c r="A53" s="13" t="s">
        <v>102</v>
      </c>
      <c r="B53" s="14">
        <f>INDEX(Ennemis!B:B,MATCH(A53,Ennemis!A:A,0))</f>
        <v>1</v>
      </c>
      <c r="C53" s="14">
        <f>(INDEX(Ennemis!G:G,MATCH(A53,Ennemis!A:A,0))+INDEX(Ennemis!H:H,MATCH(A53,Ennemis!A:A,0)))/2</f>
        <v>17.5</v>
      </c>
      <c r="D53" s="13" t="str">
        <f>IFERROR(INDEX('Loot Table'!B:B,MATCH(A53,'Loot Table'!A:A,0)),"-")</f>
        <v>Plasma Pistol MK-I</v>
      </c>
      <c r="E53" s="13">
        <f>IFERROR(INDEX('Loot Table'!C:C,MATCH(A53,'Loot Table'!A:A,0)),0)</f>
        <v>0.15</v>
      </c>
      <c r="F53" s="13">
        <f>IFERROR(INDEX(Items!D:D,MATCH(D53,Items!A:A,0)),0)</f>
        <v>100</v>
      </c>
      <c r="G53" s="13" t="str" cm="1">
        <f t="array" ref="G53">IFERROR(INDEX('Loot Table'!B:B,MATCH(A53,'Loot Table'!A:A,0)+1),"-")</f>
        <v>Kevlar Vest</v>
      </c>
      <c r="H53" s="13" cm="1">
        <f t="array" ref="H53">IFERROR(INDEX('Loot Table'!C:C,MATCH(A53,'Loot Table'!A:A,0)+1),0)</f>
        <v>0.1</v>
      </c>
      <c r="I53" s="13">
        <f>IFERROR(INDEX(Items!D:D,MATCH(G53,Items!A:A,0)),0)</f>
        <v>80</v>
      </c>
      <c r="J53" s="13">
        <f>E53*F53+H53*I53</f>
        <v>23</v>
      </c>
      <c r="K53" s="13">
        <f>C53+J53</f>
        <v>40.5</v>
      </c>
      <c r="L53" s="13">
        <f>IF(C53&gt;0,J53/C53,0)</f>
        <v>1.3142857142857143</v>
      </c>
    </row>
    <row r="54" spans="1:14" x14ac:dyDescent="0.2">
      <c r="A54" s="13" t="s">
        <v>103</v>
      </c>
      <c r="B54" s="14">
        <f>INDEX(Ennemis!B:B,MATCH(A54,Ennemis!A:A,0))</f>
        <v>2</v>
      </c>
      <c r="C54" s="14">
        <f>(INDEX(Ennemis!G:G,MATCH(A54,Ennemis!A:A,0))+INDEX(Ennemis!H:H,MATCH(A54,Ennemis!A:A,0)))/2</f>
        <v>35</v>
      </c>
      <c r="D54" s="13" t="str">
        <f>IFERROR(INDEX('Loot Table'!B:B,MATCH(A54,'Loot Table'!A:A,0)),"-")</f>
        <v>Neural Disruptor</v>
      </c>
      <c r="E54" s="13">
        <f>IFERROR(INDEX('Loot Table'!C:C,MATCH(A54,'Loot Table'!A:A,0)),0)</f>
        <v>0.15</v>
      </c>
      <c r="F54" s="13">
        <f>IFERROR(INDEX(Items!D:D,MATCH(D54,Items!A:A,0)),0)</f>
        <v>500</v>
      </c>
      <c r="G54" s="13" t="str" cm="1">
        <f t="array" ref="G54">IFERROR(INDEX('Loot Table'!B:B,MATCH(A54,'Loot Table'!A:A,0)+1),"-")</f>
        <v>Neural Accelerator</v>
      </c>
      <c r="H54" s="13" cm="1">
        <f t="array" ref="H54">IFERROR(INDEX('Loot Table'!C:C,MATCH(A54,'Loot Table'!A:A,0)+1),0)</f>
        <v>0.1</v>
      </c>
      <c r="I54" s="13">
        <f>IFERROR(INDEX(Items!D:D,MATCH(G54,Items!A:A,0)),0)</f>
        <v>600</v>
      </c>
      <c r="J54" s="13">
        <f>E54*F54+H54*I54</f>
        <v>135</v>
      </c>
      <c r="K54" s="13">
        <f>C54+J54</f>
        <v>170</v>
      </c>
      <c r="L54" s="13">
        <f>IF(C54&gt;0,J54/C54,0)</f>
        <v>3.8571428571428572</v>
      </c>
    </row>
    <row r="55" spans="1:14" x14ac:dyDescent="0.2">
      <c r="A55" s="13" t="s">
        <v>104</v>
      </c>
      <c r="B55" s="14">
        <f>INDEX(Ennemis!B:B,MATCH(A55,Ennemis!A:A,0))</f>
        <v>2</v>
      </c>
      <c r="C55" s="14">
        <f>(INDEX(Ennemis!G:G,MATCH(A55,Ennemis!A:A,0))+INDEX(Ennemis!H:H,MATCH(A55,Ennemis!A:A,0)))/2</f>
        <v>27.5</v>
      </c>
      <c r="D55" s="13" t="str">
        <f>IFERROR(INDEX('Loot Table'!B:B,MATCH(A55,'Loot Table'!A:A,0)),"-")</f>
        <v>Nanoweave Jacket</v>
      </c>
      <c r="E55" s="13">
        <f>IFERROR(INDEX('Loot Table'!C:C,MATCH(A55,'Loot Table'!A:A,0)),0)</f>
        <v>0.15</v>
      </c>
      <c r="F55" s="13">
        <f>IFERROR(INDEX(Items!D:D,MATCH(D55,Items!A:A,0)),0)</f>
        <v>400</v>
      </c>
      <c r="G55" s="13" t="str" cm="1">
        <f t="array" ref="G55">IFERROR(INDEX('Loot Table'!B:B,MATCH(A55,'Loot Table'!A:A,0)+1),"-")</f>
        <v>Haptic Amplifier</v>
      </c>
      <c r="H55" s="13" cm="1">
        <f t="array" ref="H55">IFERROR(INDEX('Loot Table'!C:C,MATCH(A55,'Loot Table'!A:A,0)+1),0)</f>
        <v>0.12</v>
      </c>
      <c r="I55" s="13">
        <f>IFERROR(INDEX(Items!D:D,MATCH(G55,Items!A:A,0)),0)</f>
        <v>50000</v>
      </c>
      <c r="J55" s="13">
        <f>E55*F55+H55*I55</f>
        <v>6060</v>
      </c>
      <c r="K55" s="13">
        <f>C55+J55</f>
        <v>6087.5</v>
      </c>
      <c r="L55" s="13">
        <f>IF(C55&gt;0,J55/C55,0)</f>
        <v>220.36363636363637</v>
      </c>
    </row>
    <row r="56" spans="1:14" x14ac:dyDescent="0.2">
      <c r="A56" s="13" t="s">
        <v>105</v>
      </c>
      <c r="B56" s="14">
        <f>INDEX(Ennemis!B:B,MATCH(A56,Ennemis!A:A,0))</f>
        <v>2</v>
      </c>
      <c r="C56" s="14">
        <f>(INDEX(Ennemis!G:G,MATCH(A56,Ennemis!A:A,0))+INDEX(Ennemis!H:H,MATCH(A56,Ennemis!A:A,0)))/2</f>
        <v>42.5</v>
      </c>
      <c r="D56" s="13" t="str">
        <f>IFERROR(INDEX('Loot Table'!B:B,MATCH(A56,'Loot Table'!A:A,0)),"-")</f>
        <v>Haptic Amplifier</v>
      </c>
      <c r="E56" s="13">
        <f>IFERROR(INDEX('Loot Table'!C:C,MATCH(A56,'Loot Table'!A:A,0)),0)</f>
        <v>0.12</v>
      </c>
      <c r="F56" s="13">
        <f>IFERROR(INDEX(Items!D:D,MATCH(D56,Items!A:A,0)),0)</f>
        <v>50000</v>
      </c>
      <c r="G56" s="13" t="str" cm="1">
        <f t="array" ref="G56">IFERROR(INDEX('Loot Table'!B:B,MATCH(A56,'Loot Table'!A:A,0)+1),"-")</f>
        <v>MedGel Capsule</v>
      </c>
      <c r="H56" s="13" cm="1">
        <f t="array" ref="H56">IFERROR(INDEX('Loot Table'!C:C,MATCH(A56,'Loot Table'!A:A,0)+1),0)</f>
        <v>0.2</v>
      </c>
      <c r="I56" s="13">
        <f>IFERROR(INDEX(Items!D:D,MATCH(G56,Items!A:A,0)),0)</f>
        <v>80</v>
      </c>
      <c r="J56" s="13">
        <f>E56*F56+H56*I56</f>
        <v>6016</v>
      </c>
      <c r="K56" s="13">
        <f>C56+J56</f>
        <v>6058.5</v>
      </c>
      <c r="L56" s="13">
        <f>IF(C56&gt;0,J56/C56,0)</f>
        <v>141.5529411764706</v>
      </c>
    </row>
    <row r="57" spans="1:14" x14ac:dyDescent="0.2">
      <c r="A57" s="13" t="s">
        <v>106</v>
      </c>
      <c r="B57" s="14">
        <f>INDEX(Ennemis!B:B,MATCH(A57,Ennemis!A:A,0))</f>
        <v>3</v>
      </c>
      <c r="C57" s="14">
        <f>(INDEX(Ennemis!G:G,MATCH(A57,Ennemis!A:A,0))+INDEX(Ennemis!H:H,MATCH(A57,Ennemis!A:A,0)))/2</f>
        <v>85</v>
      </c>
      <c r="D57" s="13" t="str">
        <f>IFERROR(INDEX('Loot Table'!B:B,MATCH(A57,'Loot Table'!A:A,0)),"-")</f>
        <v>Titanium Exosuit</v>
      </c>
      <c r="E57" s="13">
        <f>IFERROR(INDEX('Loot Table'!C:C,MATCH(A57,'Loot Table'!A:A,0)),0)</f>
        <v>0.12</v>
      </c>
      <c r="F57" s="13">
        <f>IFERROR(INDEX(Items!D:D,MATCH(D57,Items!A:A,0)),0)</f>
        <v>1200</v>
      </c>
      <c r="G57" s="13" t="str" cm="1">
        <f t="array" ref="G57">IFERROR(INDEX('Loot Table'!B:B,MATCH(A57,'Loot Table'!A:A,0)+1),"-")</f>
        <v>Railgun X-7</v>
      </c>
      <c r="H57" s="13" cm="1">
        <f t="array" ref="H57">IFERROR(INDEX('Loot Table'!C:C,MATCH(A57,'Loot Table'!A:A,0)+1),0)</f>
        <v>0.1</v>
      </c>
      <c r="I57" s="13">
        <f>IFERROR(INDEX(Items!D:D,MATCH(G57,Items!A:A,0)),0)</f>
        <v>1500</v>
      </c>
      <c r="J57" s="13">
        <f>E57*F57+H57*I57</f>
        <v>294</v>
      </c>
      <c r="K57" s="13">
        <f>C57+J57</f>
        <v>379</v>
      </c>
      <c r="L57" s="13">
        <f>IF(C57&gt;0,J57/C57,0)</f>
        <v>3.4588235294117649</v>
      </c>
    </row>
    <row r="58" spans="1:14" x14ac:dyDescent="0.2">
      <c r="A58" s="13" t="s">
        <v>107</v>
      </c>
      <c r="B58" s="14">
        <f>INDEX(Ennemis!B:B,MATCH(A58,Ennemis!A:A,0))</f>
        <v>3</v>
      </c>
      <c r="C58" s="14">
        <f>(INDEX(Ennemis!G:G,MATCH(A58,Ennemis!A:A,0))+INDEX(Ennemis!H:H,MATCH(A58,Ennemis!A:A,0)))/2</f>
        <v>105</v>
      </c>
      <c r="D58" s="13" t="str">
        <f>IFERROR(INDEX('Loot Table'!B:B,MATCH(A58,'Loot Table'!A:A,0)),"-")</f>
        <v>Railgun X-7</v>
      </c>
      <c r="E58" s="13">
        <f>IFERROR(INDEX('Loot Table'!C:C,MATCH(A58,'Loot Table'!A:A,0)),0)</f>
        <v>0.1</v>
      </c>
      <c r="F58" s="13">
        <f>IFERROR(INDEX(Items!D:D,MATCH(D58,Items!A:A,0)),0)</f>
        <v>1500</v>
      </c>
      <c r="G58" s="13" t="str" cm="1">
        <f t="array" ref="G58">IFERROR(INDEX('Loot Table'!B:B,MATCH(A58,'Loot Table'!A:A,0)+1),"-")</f>
        <v>Synaptic Overdrive</v>
      </c>
      <c r="H58" s="13" cm="1">
        <f t="array" ref="H58">IFERROR(INDEX('Loot Table'!C:C,MATCH(A58,'Loot Table'!A:A,0)+1),0)</f>
        <v>0.08</v>
      </c>
      <c r="I58" s="13">
        <f>IFERROR(INDEX(Items!D:D,MATCH(G58,Items!A:A,0)),0)</f>
        <v>2000</v>
      </c>
      <c r="J58" s="13">
        <f>E58*F58+H58*I58</f>
        <v>310</v>
      </c>
      <c r="K58" s="13">
        <f>C58+J58</f>
        <v>415</v>
      </c>
      <c r="L58" s="13">
        <f>IF(C58&gt;0,J58/C58,0)</f>
        <v>2.9523809523809526</v>
      </c>
    </row>
    <row r="59" spans="1:14" x14ac:dyDescent="0.2">
      <c r="A59" s="13" t="s">
        <v>108</v>
      </c>
      <c r="B59" s="14">
        <f>INDEX(Ennemis!B:B,MATCH(A59,Ennemis!A:A,0))</f>
        <v>3</v>
      </c>
      <c r="C59" s="14">
        <f>(INDEX(Ennemis!G:G,MATCH(A59,Ennemis!A:A,0))+INDEX(Ennemis!H:H,MATCH(A59,Ennemis!A:A,0)))/2</f>
        <v>140</v>
      </c>
      <c r="D59" s="13" t="str">
        <f>IFERROR(INDEX('Loot Table'!B:B,MATCH(A59,'Loot Table'!A:A,0)),"-")</f>
        <v>Neural Click Matrix</v>
      </c>
      <c r="E59" s="13">
        <f>IFERROR(INDEX('Loot Table'!C:C,MATCH(A59,'Loot Table'!A:A,0)),0)</f>
        <v>0.1</v>
      </c>
      <c r="F59" s="13">
        <f>IFERROR(INDEX(Items!D:D,MATCH(D59,Items!A:A,0)),0)</f>
        <v>500000</v>
      </c>
      <c r="G59" s="13" t="str" cm="1">
        <f t="array" ref="G59">IFERROR(INDEX('Loot Table'!B:B,MATCH(A59,'Loot Table'!A:A,0)+1),"-")</f>
        <v>Phoenix Serum</v>
      </c>
      <c r="H59" s="13" cm="1">
        <f t="array" ref="H59">IFERROR(INDEX('Loot Table'!C:C,MATCH(A59,'Loot Table'!A:A,0)+1),0)</f>
        <v>0.15</v>
      </c>
      <c r="I59" s="13">
        <f>IFERROR(INDEX(Items!D:D,MATCH(G59,Items!A:A,0)),0)</f>
        <v>300</v>
      </c>
      <c r="J59" s="13">
        <f>E59*F59+H59*I59</f>
        <v>50045</v>
      </c>
      <c r="K59" s="13">
        <f>C59+J59</f>
        <v>50185</v>
      </c>
      <c r="L59" s="13">
        <f>IF(C59&gt;0,J59/C59,0)</f>
        <v>357.46428571428572</v>
      </c>
    </row>
    <row r="60" spans="1:14" x14ac:dyDescent="0.2">
      <c r="A60" s="13" t="s">
        <v>109</v>
      </c>
      <c r="B60" s="14">
        <f>INDEX(Ennemis!B:B,MATCH(A60,Ennemis!A:A,0))</f>
        <v>4</v>
      </c>
      <c r="C60" s="14">
        <f>(INDEX(Ennemis!G:G,MATCH(A60,Ennemis!A:A,0))+INDEX(Ennemis!H:H,MATCH(A60,Ennemis!A:A,0)))/2</f>
        <v>550</v>
      </c>
      <c r="D60" s="13" t="str">
        <f>IFERROR(INDEX('Loot Table'!B:B,MATCH(A60,'Loot Table'!A:A,0)),"-")</f>
        <v>Void Cannon</v>
      </c>
      <c r="E60" s="13">
        <f>IFERROR(INDEX('Loot Table'!C:C,MATCH(A60,'Loot Table'!A:A,0)),0)</f>
        <v>0.2</v>
      </c>
      <c r="F60" s="13">
        <f>IFERROR(INDEX(Items!D:D,MATCH(D60,Items!A:A,0)),0)</f>
        <v>5000</v>
      </c>
      <c r="G60" s="13" t="str" cm="1">
        <f t="array" ref="G60">IFERROR(INDEX('Loot Table'!B:B,MATCH(A60,'Loot Table'!A:A,0)+1),"-")</f>
        <v>Quantum Consciousness</v>
      </c>
      <c r="H60" s="13" cm="1">
        <f t="array" ref="H60">IFERROR(INDEX('Loot Table'!C:C,MATCH(A60,'Loot Table'!A:A,0)+1),0)</f>
        <v>0.15</v>
      </c>
      <c r="I60" s="13">
        <f>IFERROR(INDEX(Items!D:D,MATCH(G60,Items!A:A,0)),0)</f>
        <v>8000</v>
      </c>
      <c r="J60" s="13">
        <f>E60*F60+H60*I60</f>
        <v>2200</v>
      </c>
      <c r="K60" s="13">
        <f>C60+J60</f>
        <v>2750</v>
      </c>
      <c r="L60" s="13">
        <f>IF(C60&gt;0,J60/C60,0)</f>
        <v>4</v>
      </c>
    </row>
    <row r="61" spans="1:14" x14ac:dyDescent="0.2">
      <c r="A61" s="13" t="s">
        <v>110</v>
      </c>
      <c r="B61" s="14">
        <f>INDEX(Ennemis!B:B,MATCH(A61,Ennemis!A:A,0))</f>
        <v>4</v>
      </c>
      <c r="C61" s="14">
        <f>(INDEX(Ennemis!G:G,MATCH(A61,Ennemis!A:A,0))+INDEX(Ennemis!H:H,MATCH(A61,Ennemis!A:A,0)))/2</f>
        <v>1000</v>
      </c>
      <c r="D61" s="13" t="str">
        <f>IFERROR(INDEX('Loot Table'!B:B,MATCH(A61,'Loot Table'!A:A,0)),"-")</f>
        <v>Quantum Shield Matrix</v>
      </c>
      <c r="E61" s="13">
        <f>IFERROR(INDEX('Loot Table'!C:C,MATCH(A61,'Loot Table'!A:A,0)),0)</f>
        <v>0.2</v>
      </c>
      <c r="F61" s="13">
        <f>IFERROR(INDEX(Items!D:D,MATCH(D61,Items!A:A,0)),0)</f>
        <v>4000</v>
      </c>
      <c r="G61" s="13" t="str" cm="1">
        <f t="array" ref="G61">IFERROR(INDEX('Loot Table'!B:B,MATCH(A61,'Loot Table'!A:A,0)+1),"-")</f>
        <v>Quantum Tap Interface</v>
      </c>
      <c r="H61" s="13" cm="1">
        <f t="array" ref="H61">IFERROR(INDEX('Loot Table'!C:C,MATCH(A61,'Loot Table'!A:A,0)+1),0)</f>
        <v>0.15</v>
      </c>
      <c r="I61" s="13">
        <f>IFERROR(INDEX(Items!D:D,MATCH(G61,Items!A:A,0)),0)</f>
        <v>5000000</v>
      </c>
      <c r="J61" s="13">
        <f>E61*F61+H61*I61</f>
        <v>750800</v>
      </c>
      <c r="K61" s="13">
        <f>C61+J61</f>
        <v>751800</v>
      </c>
      <c r="L61" s="13">
        <f>IF(C61&gt;0,J61/C61,0)</f>
        <v>750.8</v>
      </c>
    </row>
    <row r="62" spans="1:14" x14ac:dyDescent="0.2">
      <c r="A62" s="13" t="s">
        <v>111</v>
      </c>
      <c r="B62" s="14">
        <f>INDEX(Ennemis!B:B,MATCH(A62,Ennemis!A:A,0))</f>
        <v>4</v>
      </c>
      <c r="C62" s="14">
        <f>(INDEX(Ennemis!G:G,MATCH(A62,Ennemis!A:A,0))+INDEX(Ennemis!H:H,MATCH(A62,Ennemis!A:A,0)))/2</f>
        <v>2000</v>
      </c>
      <c r="D62" s="13" t="str">
        <f>IFERROR(INDEX('Loot Table'!B:B,MATCH(A62,'Loot Table'!A:A,0)),"-")</f>
        <v>OMEGA Protocol</v>
      </c>
      <c r="E62" s="13">
        <f>IFERROR(INDEX('Loot Table'!C:C,MATCH(A62,'Loot Table'!A:A,0)),0)</f>
        <v>0.1</v>
      </c>
      <c r="F62" s="13">
        <f>IFERROR(INDEX(Items!D:D,MATCH(D62,Items!A:A,0)),0)</f>
        <v>20000</v>
      </c>
      <c r="G62" s="13" t="str" cm="1">
        <f t="array" ref="G62">IFERROR(INDEX('Loot Table'!B:B,MATCH(A62,'Loot Table'!A:A,0)+1),"-")</f>
        <v>Ghost Shell</v>
      </c>
      <c r="H62" s="13" cm="1">
        <f t="array" ref="H62">IFERROR(INDEX('Loot Table'!C:C,MATCH(A62,'Loot Table'!A:A,0)+1),0)</f>
        <v>0.1</v>
      </c>
      <c r="I62" s="13">
        <f>IFERROR(INDEX(Items!D:D,MATCH(G62,Items!A:A,0)),0)</f>
        <v>18000</v>
      </c>
      <c r="J62" s="13">
        <f>E62*F62+H62*I62</f>
        <v>3800</v>
      </c>
      <c r="K62" s="13">
        <f>C62+J62</f>
        <v>5800</v>
      </c>
      <c r="L62" s="13">
        <f>IF(C62&gt;0,J62/C62,0)</f>
        <v>1.9</v>
      </c>
    </row>
    <row r="63" spans="1:14" x14ac:dyDescent="0.2">
      <c r="A63" s="13" t="s">
        <v>112</v>
      </c>
      <c r="B63" s="14">
        <f>INDEX(Ennemis!B:B,MATCH(A63,Ennemis!A:A,0))</f>
        <v>5</v>
      </c>
      <c r="C63" s="14">
        <f>(INDEX(Ennemis!G:G,MATCH(A63,Ennemis!A:A,0))+INDEX(Ennemis!H:H,MATCH(A63,Ennemis!A:A,0)))/2</f>
        <v>5000</v>
      </c>
      <c r="D63" s="13" t="str">
        <f>IFERROR(INDEX('Loot Table'!B:B,MATCH(A63,'Loot Table'!A:A,0)),"-")</f>
        <v>Kiroshi Pulse Sync</v>
      </c>
      <c r="E63" s="13">
        <f>IFERROR(INDEX('Loot Table'!C:C,MATCH(A63,'Loot Table'!A:A,0)),0)</f>
        <v>0.12</v>
      </c>
      <c r="F63" s="13">
        <f>IFERROR(INDEX(Items!D:D,MATCH(D63,Items!A:A,0)),0)</f>
        <v>400</v>
      </c>
      <c r="G63" s="13" t="str" cm="1">
        <f t="array" ref="G63">IFERROR(INDEX('Loot Table'!B:B,MATCH(A63,'Loot Table'!A:A,0)+1),"-")</f>
        <v>Sandevistan Lite</v>
      </c>
      <c r="H63" s="13" cm="1">
        <f t="array" ref="H63">IFERROR(INDEX('Loot Table'!C:C,MATCH(A63,'Loot Table'!A:A,0)+1),0)</f>
        <v>0.08</v>
      </c>
      <c r="I63" s="13">
        <f>IFERROR(INDEX(Items!D:D,MATCH(G63,Items!A:A,0)),0)</f>
        <v>1600</v>
      </c>
      <c r="J63" s="13">
        <f>E63*F63+H63*I63</f>
        <v>176</v>
      </c>
      <c r="K63" s="13">
        <f>C63+J63</f>
        <v>5176</v>
      </c>
      <c r="L63" s="13">
        <f>IF(C63&gt;0,J63/C63,0)</f>
        <v>3.5200000000000002E-2</v>
      </c>
    </row>
    <row r="64" spans="1:14" x14ac:dyDescent="0.2">
      <c r="A64" s="13" t="s">
        <v>113</v>
      </c>
      <c r="B64" s="14">
        <f>INDEX(Ennemis!B:B,MATCH(A64,Ennemis!A:A,0))</f>
        <v>5</v>
      </c>
      <c r="C64" s="14">
        <f>(INDEX(Ennemis!G:G,MATCH(A64,Ennemis!A:A,0))+INDEX(Ennemis!H:H,MATCH(A64,Ennemis!A:A,0)))/2</f>
        <v>5750</v>
      </c>
      <c r="D64" s="13" t="str">
        <f>IFERROR(INDEX('Loot Table'!B:B,MATCH(A64,'Loot Table'!A:A,0)),"-")</f>
        <v>Budget Arms Unity+</v>
      </c>
      <c r="E64" s="13">
        <f>IFERROR(INDEX('Loot Table'!C:C,MATCH(A64,'Loot Table'!A:A,0)),0)</f>
        <v>0.1</v>
      </c>
      <c r="F64" s="13">
        <f>IFERROR(INDEX(Items!D:D,MATCH(D64,Items!A:A,0)),0)</f>
        <v>350</v>
      </c>
      <c r="G64" s="13" t="str" cm="1">
        <f t="array" ref="G64">IFERROR(INDEX('Loot Table'!B:B,MATCH(A64,'Loot Table'!A:A,0)+1),"-")</f>
        <v>Tyger Claws Reinforced Coat</v>
      </c>
      <c r="H64" s="13" cm="1">
        <f t="array" ref="H64">IFERROR(INDEX('Loot Table'!C:C,MATCH(A64,'Loot Table'!A:A,0)+1),0)</f>
        <v>0.1</v>
      </c>
      <c r="I64" s="13">
        <f>IFERROR(INDEX(Items!D:D,MATCH(G64,Items!A:A,0)),0)</f>
        <v>300</v>
      </c>
      <c r="J64" s="13">
        <f>E64*F64+H64*I64</f>
        <v>65</v>
      </c>
      <c r="K64" s="13">
        <f>C64+J64</f>
        <v>5815</v>
      </c>
      <c r="L64" s="13">
        <f>IF(C64&gt;0,J64/C64,0)</f>
        <v>1.1304347826086957E-2</v>
      </c>
    </row>
    <row r="65" spans="1:14" x14ac:dyDescent="0.2">
      <c r="A65" s="13" t="s">
        <v>114</v>
      </c>
      <c r="B65" s="14">
        <f>INDEX(Ennemis!B:B,MATCH(A65,Ennemis!A:A,0))</f>
        <v>5</v>
      </c>
      <c r="C65" s="14">
        <f>(INDEX(Ennemis!G:G,MATCH(A65,Ennemis!A:A,0))+INDEX(Ennemis!H:H,MATCH(A65,Ennemis!A:A,0)))/2</f>
        <v>7100</v>
      </c>
      <c r="D65" s="13" t="str">
        <f>IFERROR(INDEX('Loot Table'!B:B,MATCH(A65,'Loot Table'!A:A,0)),"-")</f>
        <v>Kang Tao Shock Carbine</v>
      </c>
      <c r="E65" s="13">
        <f>IFERROR(INDEX('Loot Table'!C:C,MATCH(A65,'Loot Table'!A:A,0)),0)</f>
        <v>0.1</v>
      </c>
      <c r="F65" s="13">
        <f>IFERROR(INDEX(Items!D:D,MATCH(D65,Items!A:A,0)),0)</f>
        <v>1400</v>
      </c>
      <c r="G65" s="13" t="str" cm="1">
        <f t="array" ref="G65">IFERROR(INDEX('Loot Table'!B:B,MATCH(A65,'Loot Table'!A:A,0)+1),"-")</f>
        <v>Trauma Team Ballistic Mesh</v>
      </c>
      <c r="H65" s="13" cm="1">
        <f t="array" ref="H65">IFERROR(INDEX('Loot Table'!C:C,MATCH(A65,'Loot Table'!A:A,0)+1),0)</f>
        <v>0.1</v>
      </c>
      <c r="I65" s="13">
        <f>IFERROR(INDEX(Items!D:D,MATCH(G65,Items!A:A,0)),0)</f>
        <v>1250</v>
      </c>
      <c r="J65" s="13">
        <f>E65*F65+H65*I65</f>
        <v>265</v>
      </c>
      <c r="K65" s="13">
        <f>C65+J65</f>
        <v>7365</v>
      </c>
      <c r="L65" s="13">
        <f>IF(C65&gt;0,J65/C65,0)</f>
        <v>3.732394366197183E-2</v>
      </c>
    </row>
    <row r="66" spans="1:14" x14ac:dyDescent="0.2">
      <c r="A66" s="13" t="s">
        <v>115</v>
      </c>
      <c r="B66" s="14">
        <f>INDEX(Ennemis!B:B,MATCH(A66,Ennemis!A:A,0))</f>
        <v>6</v>
      </c>
      <c r="C66" s="14">
        <f>(INDEX(Ennemis!G:G,MATCH(A66,Ennemis!A:A,0))+INDEX(Ennemis!H:H,MATCH(A66,Ennemis!A:A,0)))/2</f>
        <v>9500</v>
      </c>
      <c r="D66" s="13" t="str">
        <f>IFERROR(INDEX('Loot Table'!B:B,MATCH(A66,'Loot Table'!A:A,0)),"-")</f>
        <v>Militech Bastion Frame</v>
      </c>
      <c r="E66" s="13">
        <f>IFERROR(INDEX('Loot Table'!C:C,MATCH(A66,'Loot Table'!A:A,0)),0)</f>
        <v>0.1</v>
      </c>
      <c r="F66" s="13">
        <f>IFERROR(INDEX(Items!D:D,MATCH(D66,Items!A:A,0)),0)</f>
        <v>7800</v>
      </c>
      <c r="G66" s="13" t="str" cm="1">
        <f t="array" ref="G66">IFERROR(INDEX('Loot Table'!B:B,MATCH(A66,'Loot Table'!A:A,0)+1),"-")</f>
        <v>QianT Synapse Rail</v>
      </c>
      <c r="H66" s="13" cm="1">
        <f t="array" ref="H66">IFERROR(INDEX('Loot Table'!C:C,MATCH(A66,'Loot Table'!A:A,0)+1),0)</f>
        <v>0.08</v>
      </c>
      <c r="I66" s="13">
        <f>IFERROR(INDEX(Items!D:D,MATCH(G66,Items!A:A,0)),0)</f>
        <v>9200</v>
      </c>
      <c r="J66" s="13">
        <f>E66*F66+H66*I66</f>
        <v>1516</v>
      </c>
      <c r="K66" s="13">
        <f>C66+J66</f>
        <v>11016</v>
      </c>
      <c r="L66" s="13">
        <f>IF(C66&gt;0,J66/C66,0)</f>
        <v>0.15957894736842104</v>
      </c>
    </row>
    <row r="67" spans="1:14" x14ac:dyDescent="0.2">
      <c r="A67" s="13" t="s">
        <v>116</v>
      </c>
      <c r="B67" s="14">
        <f>INDEX(Ennemis!B:B,MATCH(A67,Ennemis!A:A,0))</f>
        <v>6</v>
      </c>
      <c r="C67" s="14">
        <f>(INDEX(Ennemis!G:G,MATCH(A67,Ennemis!A:A,0))+INDEX(Ennemis!H:H,MATCH(A67,Ennemis!A:A,0)))/2</f>
        <v>10550</v>
      </c>
      <c r="D67" s="13" t="str">
        <f>IFERROR(INDEX('Loot Table'!B:B,MATCH(A67,'Loot Table'!A:A,0)),"-")</f>
        <v>QianT Synapse Rail</v>
      </c>
      <c r="E67" s="13">
        <f>IFERROR(INDEX('Loot Table'!C:C,MATCH(A67,'Loot Table'!A:A,0)),0)</f>
        <v>0.12</v>
      </c>
      <c r="F67" s="13">
        <f>IFERROR(INDEX(Items!D:D,MATCH(D67,Items!A:A,0)),0)</f>
        <v>9200</v>
      </c>
      <c r="G67" s="13" t="str" cm="1">
        <f t="array" ref="G67">IFERROR(INDEX('Loot Table'!B:B,MATCH(A67,'Loot Table'!A:A,0)+1),"-")</f>
        <v>Mantis Driver Suite</v>
      </c>
      <c r="H67" s="13" cm="1">
        <f t="array" ref="H67">IFERROR(INDEX('Loot Table'!C:C,MATCH(A67,'Loot Table'!A:A,0)+1),0)</f>
        <v>0.06</v>
      </c>
      <c r="I67" s="13">
        <f>IFERROR(INDEX(Items!D:D,MATCH(G67,Items!A:A,0)),0)</f>
        <v>56000</v>
      </c>
      <c r="J67" s="13">
        <f>E67*F67+H67*I67</f>
        <v>4464</v>
      </c>
      <c r="K67" s="13">
        <f>C67+J67</f>
        <v>15014</v>
      </c>
      <c r="L67" s="13">
        <f>IF(C67&gt;0,J67/C67,0)</f>
        <v>0.42312796208530806</v>
      </c>
    </row>
    <row r="68" spans="1:14" x14ac:dyDescent="0.2">
      <c r="A68" s="13" t="s">
        <v>117</v>
      </c>
      <c r="B68" s="14">
        <f>INDEX(Ennemis!B:B,MATCH(A68,Ennemis!A:A,0))</f>
        <v>6</v>
      </c>
      <c r="C68" s="14">
        <f>(INDEX(Ennemis!G:G,MATCH(A68,Ennemis!A:A,0))+INDEX(Ennemis!H:H,MATCH(A68,Ennemis!A:A,0)))/2</f>
        <v>11750</v>
      </c>
      <c r="D68" s="13" t="str">
        <f>IFERROR(INDEX('Loot Table'!B:B,MATCH(A68,'Loot Table'!A:A,0)),"-")</f>
        <v>Militech Crusher Custom</v>
      </c>
      <c r="E68" s="13">
        <f>IFERROR(INDEX('Loot Table'!C:C,MATCH(A68,'Loot Table'!A:A,0)),0)</f>
        <v>0.1</v>
      </c>
      <c r="F68" s="13">
        <f>IFERROR(INDEX(Items!D:D,MATCH(D68,Items!A:A,0)),0)</f>
        <v>8500</v>
      </c>
      <c r="G68" s="13" t="str" cm="1">
        <f t="array" ref="G68">IFERROR(INDEX('Loot Table'!B:B,MATCH(A68,'Loot Table'!A:A,0)+1),"-")</f>
        <v>Mantis Driver Suite</v>
      </c>
      <c r="H68" s="13" cm="1">
        <f t="array" ref="H68">IFERROR(INDEX('Loot Table'!C:C,MATCH(A68,'Loot Table'!A:A,0)+1),0)</f>
        <v>0.08</v>
      </c>
      <c r="I68" s="13">
        <f>IFERROR(INDEX(Items!D:D,MATCH(G68,Items!A:A,0)),0)</f>
        <v>56000</v>
      </c>
      <c r="J68" s="13">
        <f>E68*F68+H68*I68</f>
        <v>5330</v>
      </c>
      <c r="K68" s="13">
        <f>C68+J68</f>
        <v>17080</v>
      </c>
      <c r="L68" s="13">
        <f>IF(C68&gt;0,J68/C68,0)</f>
        <v>0.45361702127659576</v>
      </c>
    </row>
    <row r="69" spans="1:14" x14ac:dyDescent="0.2">
      <c r="A69" s="13" t="s">
        <v>118</v>
      </c>
      <c r="B69" s="14">
        <f>INDEX(Ennemis!B:B,MATCH(A69,Ennemis!A:A,0))</f>
        <v>6</v>
      </c>
      <c r="C69" s="14">
        <f>(INDEX(Ennemis!G:G,MATCH(A69,Ennemis!A:A,0))+INDEX(Ennemis!H:H,MATCH(A69,Ennemis!A:A,0)))/2</f>
        <v>15000</v>
      </c>
      <c r="D69" s="13" t="str">
        <f>IFERROR(INDEX('Loot Table'!B:B,MATCH(A69,'Loot Table'!A:A,0)),"-")</f>
        <v>Arasaka Revenant Smartgun</v>
      </c>
      <c r="E69" s="13">
        <f>IFERROR(INDEX('Loot Table'!C:C,MATCH(A69,'Loot Table'!A:A,0)),0)</f>
        <v>0.1</v>
      </c>
      <c r="F69" s="13">
        <f>IFERROR(INDEX(Items!D:D,MATCH(D69,Items!A:A,0)),0)</f>
        <v>52000</v>
      </c>
      <c r="G69" s="13" t="str" cm="1">
        <f t="array" ref="G69">IFERROR(INDEX('Loot Table'!B:B,MATCH(A69,'Loot Table'!A:A,0)+1),"-")</f>
        <v>Arasaka Specter Weave</v>
      </c>
      <c r="H69" s="13" cm="1">
        <f t="array" ref="H69">IFERROR(INDEX('Loot Table'!C:C,MATCH(A69,'Loot Table'!A:A,0)+1),0)</f>
        <v>0.08</v>
      </c>
      <c r="I69" s="13">
        <f>IFERROR(INDEX(Items!D:D,MATCH(G69,Items!A:A,0)),0)</f>
        <v>47000</v>
      </c>
      <c r="J69" s="13">
        <f>E69*F69+H69*I69</f>
        <v>8960</v>
      </c>
      <c r="K69" s="13">
        <f>C69+J69</f>
        <v>23960</v>
      </c>
      <c r="L69" s="13">
        <f>IF(C69&gt;0,J69/C69,0)</f>
        <v>0.59733333333333338</v>
      </c>
    </row>
    <row r="70" spans="1:14" x14ac:dyDescent="0.2">
      <c r="A70" s="13" t="s">
        <v>119</v>
      </c>
      <c r="B70" s="14">
        <f>INDEX(Ennemis!B:B,MATCH(A70,Ennemis!A:A,0))</f>
        <v>7</v>
      </c>
      <c r="C70" s="14">
        <f>(INDEX(Ennemis!G:G,MATCH(A70,Ennemis!A:A,0))+INDEX(Ennemis!H:H,MATCH(A70,Ennemis!A:A,0)))/2</f>
        <v>24000</v>
      </c>
      <c r="D70" s="13" t="str">
        <f>IFERROR(INDEX('Loot Table'!B:B,MATCH(A70,'Loot Table'!A:A,0)),"-")</f>
        <v>Blackwall Breacher</v>
      </c>
      <c r="E70" s="13">
        <f>IFERROR(INDEX('Loot Table'!C:C,MATCH(A70,'Loot Table'!A:A,0)),0)</f>
        <v>0.08</v>
      </c>
      <c r="F70" s="13">
        <f>IFERROR(INDEX(Items!D:D,MATCH(D70,Items!A:A,0)),0)</f>
        <v>240000</v>
      </c>
      <c r="G70" s="13" t="str" cm="1">
        <f t="array" ref="G70">IFERROR(INDEX('Loot Table'!B:B,MATCH(A70,'Loot Table'!A:A,0)+1),"-")</f>
        <v>Relic Overclock Kernel</v>
      </c>
      <c r="H70" s="13" cm="1">
        <f t="array" ref="H70">IFERROR(INDEX('Loot Table'!C:C,MATCH(A70,'Loot Table'!A:A,0)+1),0)</f>
        <v>0.06</v>
      </c>
      <c r="I70" s="13">
        <f>IFERROR(INDEX(Items!D:D,MATCH(G70,Items!A:A,0)),0)</f>
        <v>260000</v>
      </c>
      <c r="J70" s="13">
        <f>E70*F70+H70*I70</f>
        <v>34800</v>
      </c>
      <c r="K70" s="13">
        <f>C70+J70</f>
        <v>58800</v>
      </c>
      <c r="L70" s="13">
        <f>IF(C70&gt;0,J70/C70,0)</f>
        <v>1.45</v>
      </c>
    </row>
    <row r="71" spans="1:14" x14ac:dyDescent="0.2">
      <c r="A71" s="13" t="s">
        <v>120</v>
      </c>
      <c r="B71" s="14">
        <f>INDEX(Ennemis!B:B,MATCH(A71,Ennemis!A:A,0))</f>
        <v>7</v>
      </c>
      <c r="C71" s="14">
        <f>(INDEX(Ennemis!G:G,MATCH(A71,Ennemis!A:A,0))+INDEX(Ennemis!H:H,MATCH(A71,Ennemis!A:A,0)))/2</f>
        <v>33000</v>
      </c>
      <c r="D71" s="13" t="str">
        <f>IFERROR(INDEX('Loot Table'!B:B,MATCH(A71,'Loot Table'!A:A,0)),"-")</f>
        <v>Mikoshi Nullskin</v>
      </c>
      <c r="E71" s="13">
        <f>IFERROR(INDEX('Loot Table'!C:C,MATCH(A71,'Loot Table'!A:A,0)),0)</f>
        <v>0.08</v>
      </c>
      <c r="F71" s="13">
        <f>IFERROR(INDEX(Items!D:D,MATCH(D71,Items!A:A,0)),0)</f>
        <v>210000</v>
      </c>
      <c r="G71" s="13" t="str" cm="1">
        <f t="array" ref="G71">IFERROR(INDEX('Loot Table'!B:B,MATCH(A71,'Loot Table'!A:A,0)+1),"-")</f>
        <v>Militech Apogee Sandevistan</v>
      </c>
      <c r="H71" s="13" cm="1">
        <f t="array" ref="H71">IFERROR(INDEX('Loot Table'!C:C,MATCH(A71,'Loot Table'!A:A,0)+1),0)</f>
        <v>0.06</v>
      </c>
      <c r="I71" s="13">
        <f>IFERROR(INDEX(Items!D:D,MATCH(G71,Items!A:A,0)),0)</f>
        <v>320000</v>
      </c>
      <c r="J71" s="13">
        <f>E71*F71+H71*I71</f>
        <v>36000</v>
      </c>
      <c r="K71" s="13">
        <f>C71+J71</f>
        <v>69000</v>
      </c>
      <c r="L71" s="13">
        <f>IF(C71&gt;0,J71/C71,0)</f>
        <v>1.0909090909090908</v>
      </c>
    </row>
    <row r="72" spans="1:14" x14ac:dyDescent="0.2">
      <c r="A72" s="13" t="s">
        <v>121</v>
      </c>
      <c r="B72" s="14">
        <f>INDEX(Ennemis!B:B,MATCH(A72,Ennemis!A:A,0))</f>
        <v>7</v>
      </c>
      <c r="C72" s="14">
        <f>(INDEX(Ennemis!G:G,MATCH(A72,Ennemis!A:A,0))+INDEX(Ennemis!H:H,MATCH(A72,Ennemis!A:A,0)))/2</f>
        <v>43500</v>
      </c>
      <c r="D72" s="13" t="str">
        <f>IFERROR(INDEX('Loot Table'!B:B,MATCH(A72,'Loot Table'!A:A,0)),"-")</f>
        <v>Blackwall Breacher</v>
      </c>
      <c r="E72" s="13">
        <f>IFERROR(INDEX('Loot Table'!C:C,MATCH(A72,'Loot Table'!A:A,0)),0)</f>
        <v>0.12</v>
      </c>
      <c r="F72" s="13">
        <f>IFERROR(INDEX(Items!D:D,MATCH(D72,Items!A:A,0)),0)</f>
        <v>240000</v>
      </c>
      <c r="G72" s="13" t="str" cm="1">
        <f t="array" ref="G72">IFERROR(INDEX('Loot Table'!B:B,MATCH(A72,'Loot Table'!A:A,0)+1),"-")</f>
        <v>Mikoshi Nullskin</v>
      </c>
      <c r="H72" s="13" cm="1">
        <f t="array" ref="H72">IFERROR(INDEX('Loot Table'!C:C,MATCH(A72,'Loot Table'!A:A,0)+1),0)</f>
        <v>0.12</v>
      </c>
      <c r="I72" s="13">
        <f>IFERROR(INDEX(Items!D:D,MATCH(G72,Items!A:A,0)),0)</f>
        <v>210000</v>
      </c>
      <c r="J72" s="13">
        <f>E72*F72+H72*I72</f>
        <v>54000</v>
      </c>
      <c r="K72" s="13">
        <f>C72+J72</f>
        <v>97500</v>
      </c>
      <c r="L72" s="13">
        <f>IF(C72&gt;0,J72/C72,0)</f>
        <v>1.2413793103448276</v>
      </c>
    </row>
    <row r="74" spans="1:14" ht="8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7" x14ac:dyDescent="0.2">
      <c r="A75" s="5" t="s">
        <v>310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x14ac:dyDescent="0.2">
      <c r="A76" s="12" t="s">
        <v>176</v>
      </c>
      <c r="B76" s="12" t="s">
        <v>311</v>
      </c>
      <c r="C76" s="12" t="s">
        <v>312</v>
      </c>
      <c r="D76" s="12" t="s">
        <v>313</v>
      </c>
      <c r="E76" s="12" t="s">
        <v>314</v>
      </c>
      <c r="F76" s="12" t="s">
        <v>315</v>
      </c>
      <c r="G76" s="12" t="s">
        <v>316</v>
      </c>
      <c r="H76" s="12" t="s">
        <v>317</v>
      </c>
      <c r="I76" s="12" t="s">
        <v>318</v>
      </c>
      <c r="J76" s="12" t="s">
        <v>319</v>
      </c>
      <c r="K76" s="12" t="s">
        <v>320</v>
      </c>
      <c r="L76" s="12" t="s">
        <v>321</v>
      </c>
    </row>
    <row r="77" spans="1:14" x14ac:dyDescent="0.2">
      <c r="A77" s="14">
        <v>1</v>
      </c>
      <c r="B77" s="14">
        <f>INDEX('Progression Niveaux'!C:C,MATCH(A77,'Progression Niveaux'!A:A,0))</f>
        <v>0</v>
      </c>
      <c r="C77" s="14">
        <f>INDEX('Progression Niveaux'!D:D,MATCH(A77,'Progression Niveaux'!A:A,0))</f>
        <v>100</v>
      </c>
      <c r="D77" s="14">
        <f>INDEX('Progression Niveaux'!E:E,MATCH(A77,'Progression Niveaux'!A:A,0))</f>
        <v>10</v>
      </c>
      <c r="E77" s="14">
        <f>INDEX('Progression Niveaux'!F:F,MATCH(A77,'Progression Niveaux'!A:A,0))</f>
        <v>5</v>
      </c>
      <c r="F77" s="14">
        <v>1</v>
      </c>
      <c r="G77" s="14">
        <f>_xlfn.MAXIFS(Ennemis!C:C,Ennemis!B:B,F77)</f>
        <v>50</v>
      </c>
      <c r="H77" s="14">
        <f>_xlfn.MAXIFS(Ennemis!D:D,Ennemis!B:B,F77)</f>
        <v>8</v>
      </c>
      <c r="I77" s="14">
        <f>_xlfn.MAXIFS(Ennemis!E:E,Ennemis!B:B,F77)</f>
        <v>3</v>
      </c>
      <c r="J77" s="14">
        <f>(C77-G77)/G77</f>
        <v>1</v>
      </c>
      <c r="K77" s="14">
        <f>(D77-H77)/H77</f>
        <v>0.25</v>
      </c>
      <c r="L77" s="14" t="str">
        <f>IF(J77&lt;-0.5,"💀 Trop dur",IF(J77&lt;0,"⚠️ Challengeant",IF(J77&lt;1,"✅ Équilibré","😴 Trop facile")))</f>
        <v>😴 Trop facile</v>
      </c>
    </row>
    <row r="78" spans="1:14" x14ac:dyDescent="0.2">
      <c r="A78" s="14">
        <v>3</v>
      </c>
      <c r="B78" s="14">
        <f>INDEX('Progression Niveaux'!C:C,MATCH(A78,'Progression Niveaux'!A:A,0))</f>
        <v>300</v>
      </c>
      <c r="C78" s="14">
        <f>INDEX('Progression Niveaux'!D:D,MATCH(A78,'Progression Niveaux'!A:A,0))</f>
        <v>123</v>
      </c>
      <c r="D78" s="14">
        <f>INDEX('Progression Niveaux'!E:E,MATCH(A78,'Progression Niveaux'!A:A,0))</f>
        <v>14</v>
      </c>
      <c r="E78" s="14">
        <f>INDEX('Progression Niveaux'!F:F,MATCH(A78,'Progression Niveaux'!A:A,0))</f>
        <v>7</v>
      </c>
      <c r="F78" s="14">
        <v>2</v>
      </c>
      <c r="G78" s="14">
        <f>_xlfn.MAXIFS(Ennemis!C:C,Ennemis!B:B,F78)</f>
        <v>80</v>
      </c>
      <c r="H78" s="14">
        <f>_xlfn.MAXIFS(Ennemis!D:D,Ennemis!B:B,F78)</f>
        <v>20</v>
      </c>
      <c r="I78" s="14">
        <f>_xlfn.MAXIFS(Ennemis!E:E,Ennemis!B:B,F78)</f>
        <v>10</v>
      </c>
      <c r="J78" s="14">
        <f>(C78-G78)/G78</f>
        <v>0.53749999999999998</v>
      </c>
      <c r="K78" s="14">
        <f>(D78-H78)/H78</f>
        <v>-0.3</v>
      </c>
      <c r="L78" s="14" t="str">
        <f>IF(J78&lt;-0.5,"💀 Trop dur",IF(J78&lt;0,"⚠️ Challengeant",IF(J78&lt;1,"✅ Équilibré","😴 Trop facile")))</f>
        <v>✅ Équilibré</v>
      </c>
    </row>
    <row r="79" spans="1:14" x14ac:dyDescent="0.2">
      <c r="A79" s="14">
        <v>5</v>
      </c>
      <c r="B79" s="14">
        <f>INDEX('Progression Niveaux'!C:C,MATCH(A79,'Progression Niveaux'!A:A,0))</f>
        <v>1000</v>
      </c>
      <c r="C79" s="14">
        <f>INDEX('Progression Niveaux'!D:D,MATCH(A79,'Progression Niveaux'!A:A,0))</f>
        <v>152</v>
      </c>
      <c r="D79" s="14">
        <f>INDEX('Progression Niveaux'!E:E,MATCH(A79,'Progression Niveaux'!A:A,0))</f>
        <v>19</v>
      </c>
      <c r="E79" s="14">
        <f>INDEX('Progression Niveaux'!F:F,MATCH(A79,'Progression Niveaux'!A:A,0))</f>
        <v>10</v>
      </c>
      <c r="F79" s="14">
        <v>2</v>
      </c>
      <c r="G79" s="14">
        <f>_xlfn.MAXIFS(Ennemis!C:C,Ennemis!B:B,F79)</f>
        <v>80</v>
      </c>
      <c r="H79" s="14">
        <f>_xlfn.MAXIFS(Ennemis!D:D,Ennemis!B:B,F79)</f>
        <v>20</v>
      </c>
      <c r="I79" s="14">
        <f>_xlfn.MAXIFS(Ennemis!E:E,Ennemis!B:B,F79)</f>
        <v>10</v>
      </c>
      <c r="J79" s="14">
        <f>(C79-G79)/G79</f>
        <v>0.9</v>
      </c>
      <c r="K79" s="14">
        <f>(D79-H79)/H79</f>
        <v>-0.05</v>
      </c>
      <c r="L79" s="14" t="str">
        <f>IF(J79&lt;-0.5,"💀 Trop dur",IF(J79&lt;0,"⚠️ Challengeant",IF(J79&lt;1,"✅ Équilibré","😴 Trop facile")))</f>
        <v>✅ Équilibré</v>
      </c>
    </row>
    <row r="80" spans="1:14" x14ac:dyDescent="0.2">
      <c r="A80" s="14">
        <v>8</v>
      </c>
      <c r="B80" s="14">
        <f>INDEX('Progression Niveaux'!C:C,MATCH(A80,'Progression Niveaux'!A:A,0))</f>
        <v>2800</v>
      </c>
      <c r="C80" s="14">
        <f>INDEX('Progression Niveaux'!D:D,MATCH(A80,'Progression Niveaux'!A:A,0))</f>
        <v>207</v>
      </c>
      <c r="D80" s="14">
        <f>INDEX('Progression Niveaux'!E:E,MATCH(A80,'Progression Niveaux'!A:A,0))</f>
        <v>28</v>
      </c>
      <c r="E80" s="14">
        <f>INDEX('Progression Niveaux'!F:F,MATCH(A80,'Progression Niveaux'!A:A,0))</f>
        <v>16</v>
      </c>
      <c r="F80" s="14">
        <v>3</v>
      </c>
      <c r="G80" s="14">
        <f>_xlfn.MAXIFS(Ennemis!C:C,Ennemis!B:B,F80)</f>
        <v>200</v>
      </c>
      <c r="H80" s="14">
        <f>_xlfn.MAXIFS(Ennemis!D:D,Ennemis!B:B,F80)</f>
        <v>35</v>
      </c>
      <c r="I80" s="14">
        <f>_xlfn.MAXIFS(Ennemis!E:E,Ennemis!B:B,F80)</f>
        <v>25</v>
      </c>
      <c r="J80" s="14">
        <f>(C80-G80)/G80</f>
        <v>3.5000000000000003E-2</v>
      </c>
      <c r="K80" s="14">
        <f>(D80-H80)/H80</f>
        <v>-0.2</v>
      </c>
      <c r="L80" s="14" t="str">
        <f>IF(J80&lt;-0.5,"💀 Trop dur",IF(J80&lt;0,"⚠️ Challengeant",IF(J80&lt;1,"✅ Équilibré","😴 Trop facile")))</f>
        <v>✅ Équilibré</v>
      </c>
    </row>
    <row r="81" spans="1:14" x14ac:dyDescent="0.2">
      <c r="A81" s="14">
        <v>10</v>
      </c>
      <c r="B81" s="14">
        <f>INDEX('Progression Niveaux'!C:C,MATCH(A81,'Progression Niveaux'!A:A,0))</f>
        <v>4500</v>
      </c>
      <c r="C81" s="14">
        <f>INDEX('Progression Niveaux'!D:D,MATCH(A81,'Progression Niveaux'!A:A,0))</f>
        <v>251</v>
      </c>
      <c r="D81" s="14">
        <f>INDEX('Progression Niveaux'!E:E,MATCH(A81,'Progression Niveaux'!A:A,0))</f>
        <v>35</v>
      </c>
      <c r="E81" s="14">
        <f>INDEX('Progression Niveaux'!F:F,MATCH(A81,'Progression Niveaux'!A:A,0))</f>
        <v>21</v>
      </c>
      <c r="F81" s="14">
        <v>3</v>
      </c>
      <c r="G81" s="14">
        <f>_xlfn.MAXIFS(Ennemis!C:C,Ennemis!B:B,F81)</f>
        <v>200</v>
      </c>
      <c r="H81" s="14">
        <f>_xlfn.MAXIFS(Ennemis!D:D,Ennemis!B:B,F81)</f>
        <v>35</v>
      </c>
      <c r="I81" s="14">
        <f>_xlfn.MAXIFS(Ennemis!E:E,Ennemis!B:B,F81)</f>
        <v>25</v>
      </c>
      <c r="J81" s="14">
        <f>(C81-G81)/G81</f>
        <v>0.255</v>
      </c>
      <c r="K81" s="14">
        <f>(D81-H81)/H81</f>
        <v>0</v>
      </c>
      <c r="L81" s="14" t="str">
        <f>IF(J81&lt;-0.5,"💀 Trop dur",IF(J81&lt;0,"⚠️ Challengeant",IF(J81&lt;1,"✅ Équilibré","😴 Trop facile")))</f>
        <v>✅ Équilibré</v>
      </c>
    </row>
    <row r="82" spans="1:14" x14ac:dyDescent="0.2">
      <c r="A82" s="14">
        <v>15</v>
      </c>
      <c r="B82" s="14">
        <f>INDEX('Progression Niveaux'!C:C,MATCH(A82,'Progression Niveaux'!A:A,0))</f>
        <v>10500</v>
      </c>
      <c r="C82" s="14">
        <f>INDEX('Progression Niveaux'!D:D,MATCH(A82,'Progression Niveaux'!A:A,0))</f>
        <v>387</v>
      </c>
      <c r="D82" s="14">
        <f>INDEX('Progression Niveaux'!E:E,MATCH(A82,'Progression Niveaux'!A:A,0))</f>
        <v>56</v>
      </c>
      <c r="E82" s="14">
        <f>INDEX('Progression Niveaux'!F:F,MATCH(A82,'Progression Niveaux'!A:A,0))</f>
        <v>37</v>
      </c>
      <c r="F82" s="14">
        <v>4</v>
      </c>
      <c r="G82" s="14">
        <f>_xlfn.MAXIFS(Ennemis!C:C,Ennemis!B:B,F82)</f>
        <v>1200</v>
      </c>
      <c r="H82" s="14">
        <f>_xlfn.MAXIFS(Ennemis!D:D,Ennemis!B:B,F82)</f>
        <v>80</v>
      </c>
      <c r="I82" s="14">
        <f>_xlfn.MAXIFS(Ennemis!E:E,Ennemis!B:B,F82)</f>
        <v>50</v>
      </c>
      <c r="J82" s="14">
        <f>(C82-G82)/G82</f>
        <v>-0.67749999999999999</v>
      </c>
      <c r="K82" s="14">
        <f>(D82-H82)/H82</f>
        <v>-0.3</v>
      </c>
      <c r="L82" s="14" t="str">
        <f>IF(J82&lt;-0.5,"💀 Trop dur",IF(J82&lt;0,"⚠️ Challengeant",IF(J82&lt;1,"✅ Équilibré","😴 Trop facile")))</f>
        <v>💀 Trop dur</v>
      </c>
    </row>
    <row r="83" spans="1:14" x14ac:dyDescent="0.2">
      <c r="A83" s="14">
        <v>20</v>
      </c>
      <c r="B83" s="14">
        <f>INDEX('Progression Niveaux'!C:C,MATCH(A83,'Progression Niveaux'!A:A,0))</f>
        <v>19000</v>
      </c>
      <c r="C83" s="14">
        <f>INDEX('Progression Niveaux'!D:D,MATCH(A83,'Progression Niveaux'!A:A,0))</f>
        <v>561</v>
      </c>
      <c r="D83" s="14">
        <f>INDEX('Progression Niveaux'!E:E,MATCH(A83,'Progression Niveaux'!A:A,0))</f>
        <v>82</v>
      </c>
      <c r="E83" s="14">
        <f>INDEX('Progression Niveaux'!F:F,MATCH(A83,'Progression Niveaux'!A:A,0))</f>
        <v>58</v>
      </c>
      <c r="F83" s="14">
        <v>5</v>
      </c>
      <c r="G83" s="14">
        <f>_xlfn.MAXIFS(Ennemis!C:C,Ennemis!B:B,F83)</f>
        <v>2600</v>
      </c>
      <c r="H83" s="14">
        <f>_xlfn.MAXIFS(Ennemis!D:D,Ennemis!B:B,F83)</f>
        <v>135</v>
      </c>
      <c r="I83" s="14">
        <f>_xlfn.MAXIFS(Ennemis!E:E,Ennemis!B:B,F83)</f>
        <v>95</v>
      </c>
      <c r="J83" s="14">
        <f>(C83-G83)/G83</f>
        <v>-0.78423076923076918</v>
      </c>
      <c r="K83" s="14">
        <f>(D83-H83)/H83</f>
        <v>-0.3925925925925926</v>
      </c>
      <c r="L83" s="14" t="str">
        <f>IF(J83&lt;-0.5,"💀 Trop dur",IF(J83&lt;0,"⚠️ Challengeant",IF(J83&lt;1,"✅ Équilibré","😴 Trop facile")))</f>
        <v>💀 Trop dur</v>
      </c>
    </row>
    <row r="84" spans="1:14" x14ac:dyDescent="0.2">
      <c r="A84" s="14">
        <v>24</v>
      </c>
      <c r="B84" s="14">
        <f>INDEX('Progression Niveaux'!C:C,MATCH(A84,'Progression Niveaux'!A:A,0))</f>
        <v>27600</v>
      </c>
      <c r="C84" s="14">
        <f>INDEX('Progression Niveaux'!D:D,MATCH(A84,'Progression Niveaux'!A:A,0))</f>
        <v>727</v>
      </c>
      <c r="D84" s="14">
        <f>INDEX('Progression Niveaux'!E:E,MATCH(A84,'Progression Niveaux'!A:A,0))</f>
        <v>106</v>
      </c>
      <c r="E84" s="14">
        <f>INDEX('Progression Niveaux'!F:F,MATCH(A84,'Progression Niveaux'!A:A,0))</f>
        <v>78</v>
      </c>
      <c r="F84" s="14">
        <v>5</v>
      </c>
      <c r="G84" s="14">
        <f>_xlfn.MAXIFS(Ennemis!C:C,Ennemis!B:B,F84)</f>
        <v>2600</v>
      </c>
      <c r="H84" s="14">
        <f>_xlfn.MAXIFS(Ennemis!D:D,Ennemis!B:B,F84)</f>
        <v>135</v>
      </c>
      <c r="I84" s="14">
        <f>_xlfn.MAXIFS(Ennemis!E:E,Ennemis!B:B,F84)</f>
        <v>95</v>
      </c>
      <c r="J84" s="14">
        <f>(C84-G84)/G84</f>
        <v>-0.7203846153846154</v>
      </c>
      <c r="K84" s="14">
        <f>(D84-H84)/H84</f>
        <v>-0.21481481481481482</v>
      </c>
      <c r="L84" s="14" t="str">
        <f>IF(J84&lt;-0.5,"💀 Trop dur",IF(J84&lt;0,"⚠️ Challengeant",IF(J84&lt;1,"✅ Équilibré","😴 Trop facile")))</f>
        <v>💀 Trop dur</v>
      </c>
    </row>
    <row r="85" spans="1:14" x14ac:dyDescent="0.2">
      <c r="A85" s="14">
        <v>29</v>
      </c>
      <c r="B85" s="14">
        <f>INDEX('Progression Niveaux'!C:C,MATCH(A85,'Progression Niveaux'!A:A,0))</f>
        <v>40600</v>
      </c>
      <c r="C85" s="14">
        <f>INDEX('Progression Niveaux'!D:D,MATCH(A85,'Progression Niveaux'!A:A,0))</f>
        <v>968</v>
      </c>
      <c r="D85" s="14">
        <f>INDEX('Progression Niveaux'!E:E,MATCH(A85,'Progression Niveaux'!A:A,0))</f>
        <v>141</v>
      </c>
      <c r="E85" s="14">
        <f>INDEX('Progression Niveaux'!F:F,MATCH(A85,'Progression Niveaux'!A:A,0))</f>
        <v>108</v>
      </c>
      <c r="F85" s="14">
        <v>6</v>
      </c>
      <c r="G85" s="14">
        <f>_xlfn.MAXIFS(Ennemis!C:C,Ennemis!B:B,F85)</f>
        <v>4700</v>
      </c>
      <c r="H85" s="14">
        <f>_xlfn.MAXIFS(Ennemis!D:D,Ennemis!B:B,F85)</f>
        <v>195</v>
      </c>
      <c r="I85" s="14">
        <f>_xlfn.MAXIFS(Ennemis!E:E,Ennemis!B:B,F85)</f>
        <v>135</v>
      </c>
      <c r="J85" s="14">
        <f>(C85-G85)/G85</f>
        <v>-0.79404255319148931</v>
      </c>
      <c r="K85" s="14">
        <f>(D85-H85)/H85</f>
        <v>-0.27692307692307694</v>
      </c>
      <c r="L85" s="14" t="str">
        <f>IF(J85&lt;-0.5,"💀 Trop dur",IF(J85&lt;0,"⚠️ Challengeant",IF(J85&lt;1,"✅ Équilibré","😴 Trop facile")))</f>
        <v>💀 Trop dur</v>
      </c>
    </row>
    <row r="86" spans="1:14" x14ac:dyDescent="0.2">
      <c r="A86" s="14">
        <v>34</v>
      </c>
      <c r="B86" s="14">
        <f>INDEX('Progression Niveaux'!C:C,MATCH(A86,'Progression Niveaux'!A:A,0))</f>
        <v>56100</v>
      </c>
      <c r="C86" s="14">
        <f>INDEX('Progression Niveaux'!D:D,MATCH(A86,'Progression Niveaux'!A:A,0))</f>
        <v>1247</v>
      </c>
      <c r="D86" s="14">
        <f>INDEX('Progression Niveaux'!E:E,MATCH(A86,'Progression Niveaux'!A:A,0))</f>
        <v>181</v>
      </c>
      <c r="E86" s="14">
        <f>INDEX('Progression Niveaux'!F:F,MATCH(A86,'Progression Niveaux'!A:A,0))</f>
        <v>143</v>
      </c>
      <c r="F86" s="14">
        <v>6</v>
      </c>
      <c r="G86" s="14">
        <f>_xlfn.MAXIFS(Ennemis!C:C,Ennemis!B:B,F86)</f>
        <v>4700</v>
      </c>
      <c r="H86" s="14">
        <f>_xlfn.MAXIFS(Ennemis!D:D,Ennemis!B:B,F86)</f>
        <v>195</v>
      </c>
      <c r="I86" s="14">
        <f>_xlfn.MAXIFS(Ennemis!E:E,Ennemis!B:B,F86)</f>
        <v>135</v>
      </c>
      <c r="J86" s="14">
        <f>(C86-G86)/G86</f>
        <v>-0.73468085106382974</v>
      </c>
      <c r="K86" s="14">
        <f>(D86-H86)/H86</f>
        <v>-7.179487179487179E-2</v>
      </c>
      <c r="L86" s="14" t="str">
        <f>IF(J86&lt;-0.5,"💀 Trop dur",IF(J86&lt;0,"⚠️ Challengeant",IF(J86&lt;1,"✅ Équilibré","😴 Trop facile")))</f>
        <v>💀 Trop dur</v>
      </c>
    </row>
    <row r="87" spans="1:14" x14ac:dyDescent="0.2">
      <c r="A87" s="14">
        <v>40</v>
      </c>
      <c r="B87" s="14">
        <f>INDEX('Progression Niveaux'!C:C,MATCH(A87,'Progression Niveaux'!A:A,0))</f>
        <v>78000</v>
      </c>
      <c r="C87" s="14">
        <f>INDEX('Progression Niveaux'!D:D,MATCH(A87,'Progression Niveaux'!A:A,0))</f>
        <v>1631</v>
      </c>
      <c r="D87" s="14">
        <f>INDEX('Progression Niveaux'!E:E,MATCH(A87,'Progression Niveaux'!A:A,0))</f>
        <v>236</v>
      </c>
      <c r="E87" s="14">
        <f>INDEX('Progression Niveaux'!F:F,MATCH(A87,'Progression Niveaux'!A:A,0))</f>
        <v>192</v>
      </c>
      <c r="F87" s="14">
        <v>7</v>
      </c>
      <c r="G87" s="14">
        <f>_xlfn.MAXIFS(Ennemis!C:C,Ennemis!B:B,F87)</f>
        <v>9800</v>
      </c>
      <c r="H87" s="14">
        <f>_xlfn.MAXIFS(Ennemis!D:D,Ennemis!B:B,F87)</f>
        <v>285</v>
      </c>
      <c r="I87" s="14">
        <f>_xlfn.MAXIFS(Ennemis!E:E,Ennemis!B:B,F87)</f>
        <v>220</v>
      </c>
      <c r="J87" s="14">
        <f>(C87-G87)/G87</f>
        <v>-0.83357142857142852</v>
      </c>
      <c r="K87" s="14">
        <f>(D87-H87)/H87</f>
        <v>-0.17192982456140352</v>
      </c>
      <c r="L87" s="14" t="str">
        <f>IF(J87&lt;-0.5,"💀 Trop dur",IF(J87&lt;0,"⚠️ Challengeant",IF(J87&lt;1,"✅ Équilibré","😴 Trop facile")))</f>
        <v>💀 Trop dur</v>
      </c>
    </row>
    <row r="88" spans="1:14" x14ac:dyDescent="0.2">
      <c r="A88" s="14">
        <v>48</v>
      </c>
      <c r="B88" s="14">
        <f>INDEX('Progression Niveaux'!C:C,MATCH(A88,'Progression Niveaux'!A:A,0))</f>
        <v>112800</v>
      </c>
      <c r="C88" s="14">
        <f>INDEX('Progression Niveaux'!D:D,MATCH(A88,'Progression Niveaux'!A:A,0))</f>
        <v>2227</v>
      </c>
      <c r="D88" s="14">
        <f>INDEX('Progression Niveaux'!E:E,MATCH(A88,'Progression Niveaux'!A:A,0))</f>
        <v>320</v>
      </c>
      <c r="E88" s="14">
        <f>INDEX('Progression Niveaux'!F:F,MATCH(A88,'Progression Niveaux'!A:A,0))</f>
        <v>268</v>
      </c>
      <c r="F88" s="14">
        <v>7</v>
      </c>
      <c r="G88" s="14">
        <f>_xlfn.MAXIFS(Ennemis!C:C,Ennemis!B:B,F88)</f>
        <v>9800</v>
      </c>
      <c r="H88" s="14">
        <f>_xlfn.MAXIFS(Ennemis!D:D,Ennemis!B:B,F88)</f>
        <v>285</v>
      </c>
      <c r="I88" s="14">
        <f>_xlfn.MAXIFS(Ennemis!E:E,Ennemis!B:B,F88)</f>
        <v>220</v>
      </c>
      <c r="J88" s="14">
        <f>(C88-G88)/G88</f>
        <v>-0.77275510204081632</v>
      </c>
      <c r="K88" s="14">
        <f>(D88-H88)/H88</f>
        <v>0.12280701754385964</v>
      </c>
      <c r="L88" s="14" t="str">
        <f>IF(J88&lt;-0.5,"💀 Trop dur",IF(J88&lt;0,"⚠️ Challengeant",IF(J88&lt;1,"✅ Équilibré","😴 Trop facile")))</f>
        <v>💀 Trop dur</v>
      </c>
    </row>
    <row r="89" spans="1:14" x14ac:dyDescent="0.2">
      <c r="A89" s="14">
        <v>60</v>
      </c>
      <c r="B89" s="14">
        <f>INDEX('Progression Niveaux'!C:C,MATCH(A89,'Progression Niveaux'!A:A,0))</f>
        <v>177000</v>
      </c>
      <c r="C89" s="14">
        <f>INDEX('Progression Niveaux'!D:D,MATCH(A89,'Progression Niveaux'!A:A,0))</f>
        <v>3301</v>
      </c>
      <c r="D89" s="14">
        <f>INDEX('Progression Niveaux'!E:E,MATCH(A89,'Progression Niveaux'!A:A,0))</f>
        <v>470</v>
      </c>
      <c r="E89" s="14">
        <f>INDEX('Progression Niveaux'!F:F,MATCH(A89,'Progression Niveaux'!A:A,0))</f>
        <v>406</v>
      </c>
      <c r="F89" s="14">
        <v>7</v>
      </c>
      <c r="G89" s="14">
        <f>_xlfn.MAXIFS(Ennemis!C:C,Ennemis!B:B,F89)</f>
        <v>9800</v>
      </c>
      <c r="H89" s="14">
        <f>_xlfn.MAXIFS(Ennemis!D:D,Ennemis!B:B,F89)</f>
        <v>285</v>
      </c>
      <c r="I89" s="14">
        <f>_xlfn.MAXIFS(Ennemis!E:E,Ennemis!B:B,F89)</f>
        <v>220</v>
      </c>
      <c r="J89" s="14">
        <f>(C89-G89)/G89</f>
        <v>-0.66316326530612246</v>
      </c>
      <c r="K89" s="14">
        <f>(D89-H89)/H89</f>
        <v>0.64912280701754388</v>
      </c>
      <c r="L89" s="14" t="str">
        <f>IF(J89&lt;-0.5,"💀 Trop dur",IF(J89&lt;0,"⚠️ Challengeant",IF(J89&lt;1,"✅ Équilibré","😴 Trop facile")))</f>
        <v>💀 Trop dur</v>
      </c>
    </row>
    <row r="90" spans="1:14" x14ac:dyDescent="0.2">
      <c r="A90" s="14">
        <v>80</v>
      </c>
      <c r="B90" s="14">
        <f>INDEX('Progression Niveaux'!C:C,MATCH(A90,'Progression Niveaux'!A:A,0))</f>
        <v>316000</v>
      </c>
      <c r="C90" s="14">
        <f>INDEX('Progression Niveaux'!D:D,MATCH(A90,'Progression Niveaux'!A:A,0))</f>
        <v>5571</v>
      </c>
      <c r="D90" s="14">
        <f>INDEX('Progression Niveaux'!E:E,MATCH(A90,'Progression Niveaux'!A:A,0))</f>
        <v>784</v>
      </c>
      <c r="E90" s="14">
        <f>INDEX('Progression Niveaux'!F:F,MATCH(A90,'Progression Niveaux'!A:A,0))</f>
        <v>700</v>
      </c>
      <c r="F90" s="14">
        <v>7</v>
      </c>
      <c r="G90" s="14">
        <f>_xlfn.MAXIFS(Ennemis!C:C,Ennemis!B:B,F90)</f>
        <v>9800</v>
      </c>
      <c r="H90" s="14">
        <f>_xlfn.MAXIFS(Ennemis!D:D,Ennemis!B:B,F90)</f>
        <v>285</v>
      </c>
      <c r="I90" s="14">
        <f>_xlfn.MAXIFS(Ennemis!E:E,Ennemis!B:B,F90)</f>
        <v>220</v>
      </c>
      <c r="J90" s="14">
        <f>(C90-G90)/G90</f>
        <v>-0.43153061224489797</v>
      </c>
      <c r="K90" s="14">
        <f>(D90-H90)/H90</f>
        <v>1.750877192982456</v>
      </c>
      <c r="L90" s="14" t="str">
        <f>IF(J90&lt;-0.5,"💀 Trop dur",IF(J90&lt;0,"⚠️ Challengeant",IF(J90&lt;1,"✅ Équilibré","😴 Trop facile")))</f>
        <v>⚠️ Challengeant</v>
      </c>
    </row>
    <row r="91" spans="1:14" x14ac:dyDescent="0.2">
      <c r="A91" s="14">
        <v>100</v>
      </c>
      <c r="B91" s="14">
        <f>INDEX('Progression Niveaux'!C:C,MATCH(A91,'Progression Niveaux'!A:A,0))</f>
        <v>495000</v>
      </c>
      <c r="C91" s="14">
        <f>INDEX('Progression Niveaux'!D:D,MATCH(A91,'Progression Niveaux'!A:A,0))</f>
        <v>8441</v>
      </c>
      <c r="D91" s="14">
        <f>INDEX('Progression Niveaux'!E:E,MATCH(A91,'Progression Niveaux'!A:A,0))</f>
        <v>1178</v>
      </c>
      <c r="E91" s="14">
        <f>INDEX('Progression Niveaux'!F:F,MATCH(A91,'Progression Niveaux'!A:A,0))</f>
        <v>1074</v>
      </c>
      <c r="F91" s="14">
        <v>7</v>
      </c>
      <c r="G91" s="14">
        <f>_xlfn.MAXIFS(Ennemis!C:C,Ennemis!B:B,F91)</f>
        <v>9800</v>
      </c>
      <c r="H91" s="14">
        <f>_xlfn.MAXIFS(Ennemis!D:D,Ennemis!B:B,F91)</f>
        <v>285</v>
      </c>
      <c r="I91" s="14">
        <f>_xlfn.MAXIFS(Ennemis!E:E,Ennemis!B:B,F91)</f>
        <v>220</v>
      </c>
      <c r="J91" s="14">
        <f>(C91-G91)/G91</f>
        <v>-0.1386734693877551</v>
      </c>
      <c r="K91" s="14">
        <f>(D91-H91)/H91</f>
        <v>3.1333333333333333</v>
      </c>
      <c r="L91" s="14" t="str">
        <f>IF(J91&lt;-0.5,"💀 Trop dur",IF(J91&lt;0,"⚠️ Challengeant",IF(J91&lt;1,"✅ Équilibré","😴 Trop facile")))</f>
        <v>⚠️ Challengeant</v>
      </c>
    </row>
    <row r="92" spans="1:14" x14ac:dyDescent="0.2">
      <c r="A92" s="14">
        <v>120</v>
      </c>
      <c r="B92" s="14">
        <f>INDEX('Progression Niveaux'!C:C,MATCH(A92,'Progression Niveaux'!A:A,0))</f>
        <v>714000</v>
      </c>
      <c r="C92" s="14">
        <f>INDEX('Progression Niveaux'!D:D,MATCH(A92,'Progression Niveaux'!A:A,0))</f>
        <v>11911</v>
      </c>
      <c r="D92" s="14">
        <f>INDEX('Progression Niveaux'!E:E,MATCH(A92,'Progression Niveaux'!A:A,0))</f>
        <v>1652</v>
      </c>
      <c r="E92" s="14">
        <f>INDEX('Progression Niveaux'!F:F,MATCH(A92,'Progression Niveaux'!A:A,0))</f>
        <v>1528</v>
      </c>
      <c r="F92" s="14">
        <v>7</v>
      </c>
      <c r="G92" s="14">
        <f>_xlfn.MAXIFS(Ennemis!C:C,Ennemis!B:B,F92)</f>
        <v>9800</v>
      </c>
      <c r="H92" s="14">
        <f>_xlfn.MAXIFS(Ennemis!D:D,Ennemis!B:B,F92)</f>
        <v>285</v>
      </c>
      <c r="I92" s="14">
        <f>_xlfn.MAXIFS(Ennemis!E:E,Ennemis!B:B,F92)</f>
        <v>220</v>
      </c>
      <c r="J92" s="14">
        <f>(C92-G92)/G92</f>
        <v>0.21540816326530612</v>
      </c>
      <c r="K92" s="14">
        <f>(D92-H92)/H92</f>
        <v>4.7964912280701757</v>
      </c>
      <c r="L92" s="14" t="str">
        <f>IF(J92&lt;-0.5,"💀 Trop dur",IF(J92&lt;0,"⚠️ Challengeant",IF(J92&lt;1,"✅ Équilibré","😴 Trop facile")))</f>
        <v>✅ Équilibré</v>
      </c>
    </row>
    <row r="93" spans="1:14" x14ac:dyDescent="0.2">
      <c r="A93" s="14">
        <v>150</v>
      </c>
      <c r="B93" s="14">
        <f>INDEX('Progression Niveaux'!C:C,MATCH(A93,'Progression Niveaux'!A:A,0))</f>
        <v>1117500</v>
      </c>
      <c r="C93" s="14">
        <f>INDEX('Progression Niveaux'!D:D,MATCH(A93,'Progression Niveaux'!A:A,0))</f>
        <v>18241</v>
      </c>
      <c r="D93" s="14">
        <f>INDEX('Progression Niveaux'!E:E,MATCH(A93,'Progression Niveaux'!A:A,0))</f>
        <v>2513</v>
      </c>
      <c r="E93" s="14">
        <f>INDEX('Progression Niveaux'!F:F,MATCH(A93,'Progression Niveaux'!A:A,0))</f>
        <v>2359</v>
      </c>
      <c r="F93" s="14">
        <v>7</v>
      </c>
      <c r="G93" s="14">
        <f>_xlfn.MAXIFS(Ennemis!C:C,Ennemis!B:B,F93)</f>
        <v>9800</v>
      </c>
      <c r="H93" s="14">
        <f>_xlfn.MAXIFS(Ennemis!D:D,Ennemis!B:B,F93)</f>
        <v>285</v>
      </c>
      <c r="I93" s="14">
        <f>_xlfn.MAXIFS(Ennemis!E:E,Ennemis!B:B,F93)</f>
        <v>220</v>
      </c>
      <c r="J93" s="14">
        <f>(C93-G93)/G93</f>
        <v>0.86132653061224485</v>
      </c>
      <c r="K93" s="14">
        <f>(D93-H93)/H93</f>
        <v>7.8175438596491231</v>
      </c>
      <c r="L93" s="14" t="str">
        <f>IF(J93&lt;-0.5,"💀 Trop dur",IF(J93&lt;0,"⚠️ Challengeant",IF(J93&lt;1,"✅ Équilibré","😴 Trop facile")))</f>
        <v>✅ Équilibré</v>
      </c>
    </row>
    <row r="95" spans="1:14" ht="8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7" x14ac:dyDescent="0.2">
      <c r="A96" s="5" t="s">
        <v>322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">
      <c r="A97" s="12" t="s">
        <v>323</v>
      </c>
      <c r="B97" s="12" t="s">
        <v>0</v>
      </c>
      <c r="C97" s="12" t="s">
        <v>324</v>
      </c>
      <c r="D97" s="12" t="s">
        <v>325</v>
      </c>
      <c r="E97" s="12" t="s">
        <v>326</v>
      </c>
      <c r="F97" s="12" t="s">
        <v>327</v>
      </c>
      <c r="G97" s="12" t="s">
        <v>328</v>
      </c>
      <c r="H97" s="12" t="s">
        <v>329</v>
      </c>
      <c r="I97" s="12" t="s">
        <v>330</v>
      </c>
      <c r="J97" s="12" t="s">
        <v>331</v>
      </c>
      <c r="K97" s="12" t="s">
        <v>332</v>
      </c>
      <c r="L97" s="12" t="s">
        <v>333</v>
      </c>
    </row>
    <row r="98" spans="1:14" x14ac:dyDescent="0.2">
      <c r="A98" s="14">
        <v>1</v>
      </c>
      <c r="B98" s="13" t="str">
        <f>INDEX(Donjon!B:B,MATCH(A98,Donjon!A:A,0))</f>
        <v>Neon Alley</v>
      </c>
      <c r="C98" s="14">
        <f>INDEX(Donjon!C:C,MATCH(A98,Donjon!A:A,0))</f>
        <v>1</v>
      </c>
      <c r="D98" s="14">
        <f>INDEX(Donjon!F:F,MATCH(A98,Donjon!A:A,0))</f>
        <v>1</v>
      </c>
      <c r="E98" s="14">
        <f>INDEX(Donjon!G:G,MATCH(A98,Donjon!A:A,0))</f>
        <v>4</v>
      </c>
      <c r="F98" s="14">
        <f>INDEX('Progression Niveaux'!D:D,MATCH(C98,'Progression Niveaux'!A:A,0))</f>
        <v>100</v>
      </c>
      <c r="G98" s="14">
        <f>INDEX('Progression Niveaux'!E:E,MATCH(C98,'Progression Niveaux'!A:A,0))</f>
        <v>10</v>
      </c>
      <c r="H98" s="14" t="str">
        <f>IF(INDEX(Donjon!E:E,MATCH(A98,Donjon!A:A,0))="","-",INDEX(Donjon!E:E,MATCH(A98,Donjon!A:A,0)))</f>
        <v>-</v>
      </c>
      <c r="I98" s="14">
        <f>IFERROR(INDEX(Ennemis!C:C,MATCH(H98,Ennemis!A:A,0)),0)</f>
        <v>0</v>
      </c>
      <c r="J98" s="14">
        <f>IFERROR(INDEX(Ennemis!D:D,MATCH(H98,Ennemis!A:A,0)),0)</f>
        <v>0</v>
      </c>
      <c r="K98" s="14" t="str">
        <f>IF(I98&gt;0,ROUNDUP(I98/MAX(G98-IFERROR(INDEX(Ennemis!E:E,MATCH(H98,Ennemis!A:A,0)),0),1),0),"-")</f>
        <v>-</v>
      </c>
      <c r="L98" s="14" t="str">
        <f>IF(I98=0,"-",IF(AND(D98=1,K98&lt;50),"✅ Oui",IF(D98&gt;1,"🚫 Groupe requis","⚠️ Très long")))</f>
        <v>-</v>
      </c>
    </row>
    <row r="99" spans="1:14" x14ac:dyDescent="0.2">
      <c r="A99" s="14">
        <v>2</v>
      </c>
      <c r="B99" s="13" t="str">
        <f>INDEX(Donjon!B:B,MATCH(A99,Donjon!A:A,0))</f>
        <v>Abandoned Metro</v>
      </c>
      <c r="C99" s="14">
        <f>INDEX(Donjon!C:C,MATCH(A99,Donjon!A:A,0))</f>
        <v>3</v>
      </c>
      <c r="D99" s="14">
        <f>INDEX(Donjon!F:F,MATCH(A99,Donjon!A:A,0))</f>
        <v>1</v>
      </c>
      <c r="E99" s="14">
        <f>INDEX(Donjon!G:G,MATCH(A99,Donjon!A:A,0))</f>
        <v>4</v>
      </c>
      <c r="F99" s="14">
        <f>INDEX('Progression Niveaux'!D:D,MATCH(C99,'Progression Niveaux'!A:A,0))</f>
        <v>123</v>
      </c>
      <c r="G99" s="14">
        <f>INDEX('Progression Niveaux'!E:E,MATCH(C99,'Progression Niveaux'!A:A,0))</f>
        <v>14</v>
      </c>
      <c r="H99" s="14" t="str">
        <f>IF(INDEX(Donjon!E:E,MATCH(A99,Donjon!A:A,0))="","-",INDEX(Donjon!E:E,MATCH(A99,Donjon!A:A,0)))</f>
        <v>-</v>
      </c>
      <c r="I99" s="14">
        <f>IFERROR(INDEX(Ennemis!C:C,MATCH(H99,Ennemis!A:A,0)),0)</f>
        <v>0</v>
      </c>
      <c r="J99" s="14">
        <f>IFERROR(INDEX(Ennemis!D:D,MATCH(H99,Ennemis!A:A,0)),0)</f>
        <v>0</v>
      </c>
      <c r="K99" s="14" t="str">
        <f>IF(I99&gt;0,ROUNDUP(I99/MAX(G99-IFERROR(INDEX(Ennemis!E:E,MATCH(H99,Ennemis!A:A,0)),0),1),0),"-")</f>
        <v>-</v>
      </c>
      <c r="L99" s="14" t="str">
        <f>IF(I99=0,"-",IF(AND(D99=1,K99&lt;50),"✅ Oui",IF(D99&gt;1,"🚫 Groupe requis","⚠️ Très long")))</f>
        <v>-</v>
      </c>
    </row>
    <row r="100" spans="1:14" x14ac:dyDescent="0.2">
      <c r="A100" s="14">
        <v>3</v>
      </c>
      <c r="B100" s="13" t="str">
        <f>INDEX(Donjon!B:B,MATCH(A100,Donjon!A:A,0))</f>
        <v>Data Catacombs</v>
      </c>
      <c r="C100" s="14">
        <f>INDEX(Donjon!C:C,MATCH(A100,Donjon!A:A,0))</f>
        <v>5</v>
      </c>
      <c r="D100" s="14">
        <f>INDEX(Donjon!F:F,MATCH(A100,Donjon!A:A,0))</f>
        <v>1</v>
      </c>
      <c r="E100" s="14">
        <f>INDEX(Donjon!G:G,MATCH(A100,Donjon!A:A,0))</f>
        <v>4</v>
      </c>
      <c r="F100" s="14">
        <f>INDEX('Progression Niveaux'!D:D,MATCH(C100,'Progression Niveaux'!A:A,0))</f>
        <v>152</v>
      </c>
      <c r="G100" s="14">
        <f>INDEX('Progression Niveaux'!E:E,MATCH(C100,'Progression Niveaux'!A:A,0))</f>
        <v>19</v>
      </c>
      <c r="H100" s="14" t="str">
        <f>IF(INDEX(Donjon!E:E,MATCH(A100,Donjon!A:A,0))="","-",INDEX(Donjon!E:E,MATCH(A100,Donjon!A:A,0)))</f>
        <v>ARCHON</v>
      </c>
      <c r="I100" s="14">
        <f>IFERROR(INDEX(Ennemis!C:C,MATCH(H100,Ennemis!A:A,0)),0)</f>
        <v>500</v>
      </c>
      <c r="J100" s="14">
        <f>IFERROR(INDEX(Ennemis!D:D,MATCH(H100,Ennemis!A:A,0)),0)</f>
        <v>50</v>
      </c>
      <c r="K100" s="14">
        <f>IF(I100&gt;0,ROUNDUP(I100/MAX(G100-IFERROR(INDEX(Ennemis!E:E,MATCH(H100,Ennemis!A:A,0)),0),1),0),"-")</f>
        <v>500</v>
      </c>
      <c r="L100" s="14" t="str">
        <f>IF(I100=0,"-",IF(AND(D100=1,K100&lt;50),"✅ Oui",IF(D100&gt;1,"🚫 Groupe requis","⚠️ Très long")))</f>
        <v>⚠️ Très long</v>
      </c>
    </row>
    <row r="101" spans="1:14" x14ac:dyDescent="0.2">
      <c r="A101" s="14">
        <v>4</v>
      </c>
      <c r="B101" s="13" t="str">
        <f>INDEX(Donjon!B:B,MATCH(A101,Donjon!A:A,0))</f>
        <v>Corporate Spire - Lower</v>
      </c>
      <c r="C101" s="14">
        <f>INDEX(Donjon!C:C,MATCH(A101,Donjon!A:A,0))</f>
        <v>8</v>
      </c>
      <c r="D101" s="14">
        <f>INDEX(Donjon!F:F,MATCH(A101,Donjon!A:A,0))</f>
        <v>2</v>
      </c>
      <c r="E101" s="14">
        <f>INDEX(Donjon!G:G,MATCH(A101,Donjon!A:A,0))</f>
        <v>4</v>
      </c>
      <c r="F101" s="14">
        <f>INDEX('Progression Niveaux'!D:D,MATCH(C101,'Progression Niveaux'!A:A,0))</f>
        <v>207</v>
      </c>
      <c r="G101" s="14">
        <f>INDEX('Progression Niveaux'!E:E,MATCH(C101,'Progression Niveaux'!A:A,0))</f>
        <v>28</v>
      </c>
      <c r="H101" s="14" t="str">
        <f>IF(INDEX(Donjon!E:E,MATCH(A101,Donjon!A:A,0))="","-",INDEX(Donjon!E:E,MATCH(A101,Donjon!A:A,0)))</f>
        <v>-</v>
      </c>
      <c r="I101" s="14">
        <f>IFERROR(INDEX(Ennemis!C:C,MATCH(H101,Ennemis!A:A,0)),0)</f>
        <v>0</v>
      </c>
      <c r="J101" s="14">
        <f>IFERROR(INDEX(Ennemis!D:D,MATCH(H101,Ennemis!A:A,0)),0)</f>
        <v>0</v>
      </c>
      <c r="K101" s="14" t="str">
        <f>IF(I101&gt;0,ROUNDUP(I101/MAX(G101-IFERROR(INDEX(Ennemis!E:E,MATCH(H101,Ennemis!A:A,0)),0),1),0),"-")</f>
        <v>-</v>
      </c>
      <c r="L101" s="14" t="str">
        <f>IF(I101=0,"-",IF(AND(D101=1,K101&lt;50),"✅ Oui",IF(D101&gt;1,"🚫 Groupe requis","⚠️ Très long")))</f>
        <v>-</v>
      </c>
    </row>
    <row r="102" spans="1:14" x14ac:dyDescent="0.2">
      <c r="A102" s="14">
        <v>5</v>
      </c>
      <c r="B102" s="13" t="str">
        <f>INDEX(Donjon!B:B,MATCH(A102,Donjon!A:A,0))</f>
        <v>Corporate Spire - Upper</v>
      </c>
      <c r="C102" s="14">
        <f>INDEX(Donjon!C:C,MATCH(A102,Donjon!A:A,0))</f>
        <v>10</v>
      </c>
      <c r="D102" s="14">
        <f>INDEX(Donjon!F:F,MATCH(A102,Donjon!A:A,0))</f>
        <v>2</v>
      </c>
      <c r="E102" s="14">
        <f>INDEX(Donjon!G:G,MATCH(A102,Donjon!A:A,0))</f>
        <v>4</v>
      </c>
      <c r="F102" s="14">
        <f>INDEX('Progression Niveaux'!D:D,MATCH(C102,'Progression Niveaux'!A:A,0))</f>
        <v>251</v>
      </c>
      <c r="G102" s="14">
        <f>INDEX('Progression Niveaux'!E:E,MATCH(C102,'Progression Niveaux'!A:A,0))</f>
        <v>35</v>
      </c>
      <c r="H102" s="14" t="str">
        <f>IF(INDEX(Donjon!E:E,MATCH(A102,Donjon!A:A,0))="","-",INDEX(Donjon!E:E,MATCH(A102,Donjon!A:A,0)))</f>
        <v>Chrome Dragon</v>
      </c>
      <c r="I102" s="14">
        <f>IFERROR(INDEX(Ennemis!C:C,MATCH(H102,Ennemis!A:A,0)),0)</f>
        <v>800</v>
      </c>
      <c r="J102" s="14">
        <f>IFERROR(INDEX(Ennemis!D:D,MATCH(H102,Ennemis!A:A,0)),0)</f>
        <v>60</v>
      </c>
      <c r="K102" s="14">
        <f>IF(I102&gt;0,ROUNDUP(I102/MAX(G102-IFERROR(INDEX(Ennemis!E:E,MATCH(H102,Ennemis!A:A,0)),0),1),0),"-")</f>
        <v>800</v>
      </c>
      <c r="L102" s="14" t="str">
        <f>IF(I102=0,"-",IF(AND(D102=1,K102&lt;50),"✅ Oui",IF(D102&gt;1,"🚫 Groupe requis","⚠️ Très long")))</f>
        <v>🚫 Groupe requis</v>
      </c>
    </row>
    <row r="103" spans="1:14" x14ac:dyDescent="0.2">
      <c r="A103" s="14">
        <v>6</v>
      </c>
      <c r="B103" s="13" t="str">
        <f>INDEX(Donjon!B:B,MATCH(A103,Donjon!A:A,0))</f>
        <v>The Void</v>
      </c>
      <c r="C103" s="14">
        <f>INDEX(Donjon!C:C,MATCH(A103,Donjon!A:A,0))</f>
        <v>15</v>
      </c>
      <c r="D103" s="14">
        <f>INDEX(Donjon!F:F,MATCH(A103,Donjon!A:A,0))</f>
        <v>3</v>
      </c>
      <c r="E103" s="14">
        <f>INDEX(Donjon!G:G,MATCH(A103,Donjon!A:A,0))</f>
        <v>4</v>
      </c>
      <c r="F103" s="14">
        <f>INDEX('Progression Niveaux'!D:D,MATCH(C103,'Progression Niveaux'!A:A,0))</f>
        <v>387</v>
      </c>
      <c r="G103" s="14">
        <f>INDEX('Progression Niveaux'!E:E,MATCH(C103,'Progression Niveaux'!A:A,0))</f>
        <v>56</v>
      </c>
      <c r="H103" s="14" t="str">
        <f>IF(INDEX(Donjon!E:E,MATCH(A103,Donjon!A:A,0))="","-",INDEX(Donjon!E:E,MATCH(A103,Donjon!A:A,0)))</f>
        <v>The Void King</v>
      </c>
      <c r="I103" s="14">
        <f>IFERROR(INDEX(Ennemis!C:C,MATCH(H103,Ennemis!A:A,0)),0)</f>
        <v>1200</v>
      </c>
      <c r="J103" s="14">
        <f>IFERROR(INDEX(Ennemis!D:D,MATCH(H103,Ennemis!A:A,0)),0)</f>
        <v>80</v>
      </c>
      <c r="K103" s="14">
        <f>IF(I103&gt;0,ROUNDUP(I103/MAX(G103-IFERROR(INDEX(Ennemis!E:E,MATCH(H103,Ennemis!A:A,0)),0),1),0),"-")</f>
        <v>200</v>
      </c>
      <c r="L103" s="14" t="str">
        <f>IF(I103=0,"-",IF(AND(D103=1,K103&lt;50),"✅ Oui",IF(D103&gt;1,"🚫 Groupe requis","⚠️ Très long")))</f>
        <v>🚫 Groupe requis</v>
      </c>
    </row>
    <row r="104" spans="1:14" x14ac:dyDescent="0.2">
      <c r="A104" s="14">
        <v>7</v>
      </c>
      <c r="B104" s="13" t="str">
        <f>INDEX(Donjon!B:B,MATCH(A104,Donjon!A:A,0))</f>
        <v>Pacifica Black Site</v>
      </c>
      <c r="C104" s="14">
        <f>INDEX(Donjon!C:C,MATCH(A104,Donjon!A:A,0))</f>
        <v>20</v>
      </c>
      <c r="D104" s="14">
        <f>INDEX(Donjon!F:F,MATCH(A104,Donjon!A:A,0))</f>
        <v>2</v>
      </c>
      <c r="E104" s="14">
        <f>INDEX(Donjon!G:G,MATCH(A104,Donjon!A:A,0))</f>
        <v>4</v>
      </c>
      <c r="F104" s="14">
        <f>INDEX('Progression Niveaux'!D:D,MATCH(C104,'Progression Niveaux'!A:A,0))</f>
        <v>561</v>
      </c>
      <c r="G104" s="14">
        <f>INDEX('Progression Niveaux'!E:E,MATCH(C104,'Progression Niveaux'!A:A,0))</f>
        <v>82</v>
      </c>
      <c r="H104" s="14" t="str">
        <f>IF(INDEX(Donjon!E:E,MATCH(A104,Donjon!A:A,0))="","-",INDEX(Donjon!E:E,MATCH(A104,Donjon!A:A,0)))</f>
        <v>-</v>
      </c>
      <c r="I104" s="14">
        <f>IFERROR(INDEX(Ennemis!C:C,MATCH(H104,Ennemis!A:A,0)),0)</f>
        <v>0</v>
      </c>
      <c r="J104" s="14">
        <f>IFERROR(INDEX(Ennemis!D:D,MATCH(H104,Ennemis!A:A,0)),0)</f>
        <v>0</v>
      </c>
      <c r="K104" s="14" t="str">
        <f>IF(I104&gt;0,ROUNDUP(I104/MAX(G104-IFERROR(INDEX(Ennemis!E:E,MATCH(H104,Ennemis!A:A,0)),0),1),0),"-")</f>
        <v>-</v>
      </c>
      <c r="L104" s="14" t="str">
        <f>IF(I104=0,"-",IF(AND(D104=1,K104&lt;50),"✅ Oui",IF(D104&gt;1,"🚫 Groupe requis","⚠️ Très long")))</f>
        <v>-</v>
      </c>
    </row>
    <row r="105" spans="1:14" x14ac:dyDescent="0.2">
      <c r="A105" s="14">
        <v>8</v>
      </c>
      <c r="B105" s="13" t="str">
        <f>INDEX(Donjon!B:B,MATCH(A105,Donjon!A:A,0))</f>
        <v>Dogtown Kill Corridors</v>
      </c>
      <c r="C105" s="14">
        <f>INDEX(Donjon!C:C,MATCH(A105,Donjon!A:A,0))</f>
        <v>24</v>
      </c>
      <c r="D105" s="14">
        <f>INDEX(Donjon!F:F,MATCH(A105,Donjon!A:A,0))</f>
        <v>2</v>
      </c>
      <c r="E105" s="14">
        <f>INDEX(Donjon!G:G,MATCH(A105,Donjon!A:A,0))</f>
        <v>4</v>
      </c>
      <c r="F105" s="14">
        <f>INDEX('Progression Niveaux'!D:D,MATCH(C105,'Progression Niveaux'!A:A,0))</f>
        <v>727</v>
      </c>
      <c r="G105" s="14">
        <f>INDEX('Progression Niveaux'!E:E,MATCH(C105,'Progression Niveaux'!A:A,0))</f>
        <v>106</v>
      </c>
      <c r="H105" s="14" t="str">
        <f>IF(INDEX(Donjon!E:E,MATCH(A105,Donjon!A:A,0))="","-",INDEX(Donjon!E:E,MATCH(A105,Donjon!A:A,0)))</f>
        <v>Cyberpsycho Dragoon</v>
      </c>
      <c r="I105" s="14">
        <f>IFERROR(INDEX(Ennemis!C:C,MATCH(H105,Ennemis!A:A,0)),0)</f>
        <v>3900</v>
      </c>
      <c r="J105" s="14">
        <f>IFERROR(INDEX(Ennemis!D:D,MATCH(H105,Ennemis!A:A,0)),0)</f>
        <v>175</v>
      </c>
      <c r="K105" s="14">
        <f>IF(I105&gt;0,ROUNDUP(I105/MAX(G105-IFERROR(INDEX(Ennemis!E:E,MATCH(H105,Ennemis!A:A,0)),0),1),0),"-")</f>
        <v>3900</v>
      </c>
      <c r="L105" s="14" t="str">
        <f>IF(I105=0,"-",IF(AND(D105=1,K105&lt;50),"✅ Oui",IF(D105&gt;1,"🚫 Groupe requis","⚠️ Très long")))</f>
        <v>🚫 Groupe requis</v>
      </c>
    </row>
    <row r="106" spans="1:14" x14ac:dyDescent="0.2">
      <c r="A106" s="14">
        <v>9</v>
      </c>
      <c r="B106" s="13" t="str">
        <f>INDEX(Donjon!B:B,MATCH(A106,Donjon!A:A,0))</f>
        <v>Arasaka Counterintel Vault</v>
      </c>
      <c r="C106" s="14">
        <f>INDEX(Donjon!C:C,MATCH(A106,Donjon!A:A,0))</f>
        <v>29</v>
      </c>
      <c r="D106" s="14">
        <f>INDEX(Donjon!F:F,MATCH(A106,Donjon!A:A,0))</f>
        <v>2</v>
      </c>
      <c r="E106" s="14">
        <f>INDEX(Donjon!G:G,MATCH(A106,Donjon!A:A,0))</f>
        <v>4</v>
      </c>
      <c r="F106" s="14">
        <f>INDEX('Progression Niveaux'!D:D,MATCH(C106,'Progression Niveaux'!A:A,0))</f>
        <v>968</v>
      </c>
      <c r="G106" s="14">
        <f>INDEX('Progression Niveaux'!E:E,MATCH(C106,'Progression Niveaux'!A:A,0))</f>
        <v>141</v>
      </c>
      <c r="H106" s="14" t="str">
        <f>IF(INDEX(Donjon!E:E,MATCH(A106,Donjon!A:A,0))="","-",INDEX(Donjon!E:E,MATCH(A106,Donjon!A:A,0)))</f>
        <v>-</v>
      </c>
      <c r="I106" s="14">
        <f>IFERROR(INDEX(Ennemis!C:C,MATCH(H106,Ennemis!A:A,0)),0)</f>
        <v>0</v>
      </c>
      <c r="J106" s="14">
        <f>IFERROR(INDEX(Ennemis!D:D,MATCH(H106,Ennemis!A:A,0)),0)</f>
        <v>0</v>
      </c>
      <c r="K106" s="14" t="str">
        <f>IF(I106&gt;0,ROUNDUP(I106/MAX(G106-IFERROR(INDEX(Ennemis!E:E,MATCH(H106,Ennemis!A:A,0)),0),1),0),"-")</f>
        <v>-</v>
      </c>
      <c r="L106" s="14" t="str">
        <f>IF(I106=0,"-",IF(AND(D106=1,K106&lt;50),"✅ Oui",IF(D106&gt;1,"🚫 Groupe requis","⚠️ Très long")))</f>
        <v>-</v>
      </c>
    </row>
    <row r="107" spans="1:14" x14ac:dyDescent="0.2">
      <c r="A107" s="14">
        <v>10</v>
      </c>
      <c r="B107" s="13" t="str">
        <f>INDEX(Donjon!B:B,MATCH(A107,Donjon!A:A,0))</f>
        <v>Cynosure Relay</v>
      </c>
      <c r="C107" s="14">
        <f>INDEX(Donjon!C:C,MATCH(A107,Donjon!A:A,0))</f>
        <v>34</v>
      </c>
      <c r="D107" s="14">
        <f>INDEX(Donjon!F:F,MATCH(A107,Donjon!A:A,0))</f>
        <v>3</v>
      </c>
      <c r="E107" s="14">
        <f>INDEX(Donjon!G:G,MATCH(A107,Donjon!A:A,0))</f>
        <v>4</v>
      </c>
      <c r="F107" s="14">
        <f>INDEX('Progression Niveaux'!D:D,MATCH(C107,'Progression Niveaux'!A:A,0))</f>
        <v>1247</v>
      </c>
      <c r="G107" s="14">
        <f>INDEX('Progression Niveaux'!E:E,MATCH(C107,'Progression Niveaux'!A:A,0))</f>
        <v>181</v>
      </c>
      <c r="H107" s="14" t="str">
        <f>IF(INDEX(Donjon!E:E,MATCH(A107,Donjon!A:A,0))="","-",INDEX(Donjon!E:E,MATCH(A107,Donjon!A:A,0)))</f>
        <v>Blackwall Seraph</v>
      </c>
      <c r="I107" s="14">
        <f>IFERROR(INDEX(Ennemis!C:C,MATCH(H107,Ennemis!A:A,0)),0)</f>
        <v>6200</v>
      </c>
      <c r="J107" s="14">
        <f>IFERROR(INDEX(Ennemis!D:D,MATCH(H107,Ennemis!A:A,0)),0)</f>
        <v>230</v>
      </c>
      <c r="K107" s="14">
        <f>IF(I107&gt;0,ROUNDUP(I107/MAX(G107-IFERROR(INDEX(Ennemis!E:E,MATCH(H107,Ennemis!A:A,0)),0),1),0),"-")</f>
        <v>388</v>
      </c>
      <c r="L107" s="14" t="str">
        <f>IF(I107=0,"-",IF(AND(D107=1,K107&lt;50),"✅ Oui",IF(D107&gt;1,"🚫 Groupe requis","⚠️ Très long")))</f>
        <v>🚫 Groupe requis</v>
      </c>
    </row>
    <row r="108" spans="1:14" x14ac:dyDescent="0.2">
      <c r="A108" s="14">
        <v>11</v>
      </c>
      <c r="B108" s="13" t="str">
        <f>INDEX(Donjon!B:B,MATCH(A108,Donjon!A:A,0))</f>
        <v>Mikoshi Access Spine</v>
      </c>
      <c r="C108" s="14">
        <f>INDEX(Donjon!C:C,MATCH(A108,Donjon!A:A,0))</f>
        <v>40</v>
      </c>
      <c r="D108" s="14">
        <f>INDEX(Donjon!F:F,MATCH(A108,Donjon!A:A,0))</f>
        <v>3</v>
      </c>
      <c r="E108" s="14">
        <f>INDEX(Donjon!G:G,MATCH(A108,Donjon!A:A,0))</f>
        <v>4</v>
      </c>
      <c r="F108" s="14">
        <f>INDEX('Progression Niveaux'!D:D,MATCH(C108,'Progression Niveaux'!A:A,0))</f>
        <v>1631</v>
      </c>
      <c r="G108" s="14">
        <f>INDEX('Progression Niveaux'!E:E,MATCH(C108,'Progression Niveaux'!A:A,0))</f>
        <v>236</v>
      </c>
      <c r="H108" s="14" t="str">
        <f>IF(INDEX(Donjon!E:E,MATCH(A108,Donjon!A:A,0))="","-",INDEX(Donjon!E:E,MATCH(A108,Donjon!A:A,0)))</f>
        <v>-</v>
      </c>
      <c r="I108" s="14">
        <f>IFERROR(INDEX(Ennemis!C:C,MATCH(H108,Ennemis!A:A,0)),0)</f>
        <v>0</v>
      </c>
      <c r="J108" s="14">
        <f>IFERROR(INDEX(Ennemis!D:D,MATCH(H108,Ennemis!A:A,0)),0)</f>
        <v>0</v>
      </c>
      <c r="K108" s="14" t="str">
        <f>IF(I108&gt;0,ROUNDUP(I108/MAX(G108-IFERROR(INDEX(Ennemis!E:E,MATCH(H108,Ennemis!A:A,0)),0),1),0),"-")</f>
        <v>-</v>
      </c>
      <c r="L108" s="14" t="str">
        <f>IF(I108=0,"-",IF(AND(D108=1,K108&lt;50),"✅ Oui",IF(D108&gt;1,"🚫 Groupe requis","⚠️ Très long")))</f>
        <v>-</v>
      </c>
    </row>
    <row r="109" spans="1:14" x14ac:dyDescent="0.2">
      <c r="A109" s="14">
        <v>12</v>
      </c>
      <c r="B109" s="13" t="str">
        <f>INDEX(Donjon!B:B,MATCH(A109,Donjon!A:A,0))</f>
        <v>Blackwall Breach</v>
      </c>
      <c r="C109" s="14">
        <f>INDEX(Donjon!C:C,MATCH(A109,Donjon!A:A,0))</f>
        <v>48</v>
      </c>
      <c r="D109" s="14">
        <f>INDEX(Donjon!F:F,MATCH(A109,Donjon!A:A,0))</f>
        <v>4</v>
      </c>
      <c r="E109" s="14">
        <f>INDEX(Donjon!G:G,MATCH(A109,Donjon!A:A,0))</f>
        <v>4</v>
      </c>
      <c r="F109" s="14">
        <f>INDEX('Progression Niveaux'!D:D,MATCH(C109,'Progression Niveaux'!A:A,0))</f>
        <v>2227</v>
      </c>
      <c r="G109" s="14">
        <f>INDEX('Progression Niveaux'!E:E,MATCH(C109,'Progression Niveaux'!A:A,0))</f>
        <v>320</v>
      </c>
      <c r="H109" s="14" t="str">
        <f>IF(INDEX(Donjon!E:E,MATCH(A109,Donjon!A:A,0))="","-",INDEX(Donjon!E:E,MATCH(A109,Donjon!A:A,0)))</f>
        <v>Soulkiller Prime</v>
      </c>
      <c r="I109" s="14">
        <f>IFERROR(INDEX(Ennemis!C:C,MATCH(H109,Ennemis!A:A,0)),0)</f>
        <v>9800</v>
      </c>
      <c r="J109" s="14">
        <f>IFERROR(INDEX(Ennemis!D:D,MATCH(H109,Ennemis!A:A,0)),0)</f>
        <v>285</v>
      </c>
      <c r="K109" s="14">
        <f>IF(I109&gt;0,ROUNDUP(I109/MAX(G109-IFERROR(INDEX(Ennemis!E:E,MATCH(H109,Ennemis!A:A,0)),0),1),0),"-")</f>
        <v>98</v>
      </c>
      <c r="L109" s="14" t="str">
        <f>IF(I109=0,"-",IF(AND(D109=1,K109&lt;50),"✅ Oui",IF(D109&gt;1,"🚫 Groupe requis","⚠️ Très long")))</f>
        <v>🚫 Groupe requis</v>
      </c>
    </row>
    <row r="111" spans="1:14" ht="8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7" x14ac:dyDescent="0.2">
      <c r="A112" s="5" t="s">
        <v>334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">
      <c r="A113" s="12" t="s">
        <v>0</v>
      </c>
      <c r="B113" s="12" t="s">
        <v>2</v>
      </c>
      <c r="C113" s="12" t="s">
        <v>335</v>
      </c>
      <c r="D113" s="12" t="s">
        <v>336</v>
      </c>
      <c r="E113" s="12" t="s">
        <v>156</v>
      </c>
      <c r="F113" s="12" t="s">
        <v>337</v>
      </c>
      <c r="G113" s="12" t="s">
        <v>338</v>
      </c>
    </row>
    <row r="114" spans="1:14" x14ac:dyDescent="0.2">
      <c r="A114" s="13" t="str">
        <f>Companions!A2</f>
        <v>Micro-Drone MK1</v>
      </c>
      <c r="B114" s="13" t="str">
        <f>Companions!B2</f>
        <v>common</v>
      </c>
      <c r="C114" s="13" t="str">
        <f>Companions!C2</f>
        <v>cpc_flat</v>
      </c>
      <c r="D114" s="14">
        <f>Companions!D2</f>
        <v>2</v>
      </c>
      <c r="E114" s="14">
        <f>Companions!E2</f>
        <v>500</v>
      </c>
      <c r="F114" s="14">
        <f>ROUND(D114/(E114/1000),2)</f>
        <v>4</v>
      </c>
      <c r="G114" s="14" t="str">
        <f>IF(F114&gt;=AVERAGE($F$114:$F$126)*1.2,"🟢 Bon deal",IF(F114&lt;=AVERAGE($F$114:$F$126)*0.8,"🔴 Cher","🟡 Normal"))</f>
        <v>🟢 Bon deal</v>
      </c>
    </row>
    <row r="115" spans="1:14" x14ac:dyDescent="0.2">
      <c r="A115" s="13" t="str">
        <f>Companions!A3</f>
        <v>Rat Cybernétique</v>
      </c>
      <c r="B115" s="13" t="str">
        <f>Companions!B3</f>
        <v>common</v>
      </c>
      <c r="C115" s="13" t="str">
        <f>Companions!C3</f>
        <v>cps_flat</v>
      </c>
      <c r="D115" s="14">
        <f>Companions!D3</f>
        <v>1</v>
      </c>
      <c r="E115" s="14">
        <f>Companions!E3</f>
        <v>800</v>
      </c>
      <c r="F115" s="14">
        <f>ROUND(D115/(E115/1000),2)</f>
        <v>1.25</v>
      </c>
      <c r="G115" s="14" t="str">
        <f>IF(F115&gt;=AVERAGE($F$114:$F$126)*1.2,"🟢 Bon deal",IF(F115&lt;=AVERAGE($F$114:$F$126)*0.8,"🔴 Cher","🟡 Normal"))</f>
        <v>🔴 Cher</v>
      </c>
    </row>
    <row r="116" spans="1:14" x14ac:dyDescent="0.2">
      <c r="A116" s="13" t="str">
        <f>Companions!A4</f>
        <v>Bot Bouclier</v>
      </c>
      <c r="B116" s="13" t="str">
        <f>Companions!B4</f>
        <v>common</v>
      </c>
      <c r="C116" s="13" t="str">
        <f>Companions!C4</f>
        <v>def_flat</v>
      </c>
      <c r="D116" s="14">
        <f>Companions!D4</f>
        <v>3</v>
      </c>
      <c r="E116" s="14">
        <f>Companions!E4</f>
        <v>600</v>
      </c>
      <c r="F116" s="14">
        <f>ROUND(D116/(E116/1000),2)</f>
        <v>5</v>
      </c>
      <c r="G116" s="14" t="str">
        <f>IF(F116&gt;=AVERAGE($F$114:$F$126)*1.2,"🟢 Bon deal",IF(F116&lt;=AVERAGE($F$114:$F$126)*0.8,"🔴 Cher","🟡 Normal"))</f>
        <v>🟢 Bon deal</v>
      </c>
    </row>
    <row r="117" spans="1:14" x14ac:dyDescent="0.2">
      <c r="A117" s="13" t="str">
        <f>Companions!A5</f>
        <v>Falcon Electrique</v>
      </c>
      <c r="B117" s="13" t="str">
        <f>Companions!B5</f>
        <v>uncommon</v>
      </c>
      <c r="C117" s="13" t="str">
        <f>Companions!C5</f>
        <v>crit_chance</v>
      </c>
      <c r="D117" s="14">
        <f>Companions!D5</f>
        <v>3</v>
      </c>
      <c r="E117" s="14">
        <f>Companions!E5</f>
        <v>2500</v>
      </c>
      <c r="F117" s="14">
        <f>ROUND(D117/(E117/1000),2)</f>
        <v>1.2</v>
      </c>
      <c r="G117" s="14" t="str">
        <f>IF(F117&gt;=AVERAGE($F$114:$F$126)*1.2,"🟢 Bon deal",IF(F117&lt;=AVERAGE($F$114:$F$126)*0.8,"🔴 Cher","🟡 Normal"))</f>
        <v>🔴 Cher</v>
      </c>
    </row>
    <row r="118" spans="1:14" x14ac:dyDescent="0.2">
      <c r="A118" s="13" t="str">
        <f>Companions!A6</f>
        <v>Spider-Bot</v>
      </c>
      <c r="B118" s="13" t="str">
        <f>Companions!B6</f>
        <v>uncommon</v>
      </c>
      <c r="C118" s="13" t="str">
        <f>Companions!C6</f>
        <v>atk_flat</v>
      </c>
      <c r="D118" s="14">
        <f>Companions!D6</f>
        <v>5</v>
      </c>
      <c r="E118" s="14">
        <f>Companions!E6</f>
        <v>3000</v>
      </c>
      <c r="F118" s="14">
        <f>ROUND(D118/(E118/1000),2)</f>
        <v>1.67</v>
      </c>
      <c r="G118" s="14" t="str">
        <f>IF(F118&gt;=AVERAGE($F$114:$F$126)*1.2,"🟢 Bon deal",IF(F118&lt;=AVERAGE($F$114:$F$126)*0.8,"🔴 Cher","🟡 Normal"))</f>
        <v>🟡 Normal</v>
      </c>
    </row>
    <row r="119" spans="1:14" x14ac:dyDescent="0.2">
      <c r="A119" s="13" t="str">
        <f>Companions!A7</f>
        <v>Nanites Collecteurs</v>
      </c>
      <c r="B119" s="13" t="str">
        <f>Companions!B7</f>
        <v>uncommon</v>
      </c>
      <c r="C119" s="13" t="str">
        <f>Companions!C7</f>
        <v>cps_flat</v>
      </c>
      <c r="D119" s="14">
        <f>Companions!D7</f>
        <v>3</v>
      </c>
      <c r="E119" s="14">
        <f>Companions!E7</f>
        <v>3500</v>
      </c>
      <c r="F119" s="14">
        <f>ROUND(D119/(E119/1000),2)</f>
        <v>0.86</v>
      </c>
      <c r="G119" s="14" t="str">
        <f>IF(F119&gt;=AVERAGE($F$114:$F$126)*1.2,"🟢 Bon deal",IF(F119&lt;=AVERAGE($F$114:$F$126)*0.8,"🔴 Cher","🟡 Normal"))</f>
        <v>🔴 Cher</v>
      </c>
    </row>
    <row r="120" spans="1:14" x14ac:dyDescent="0.2">
      <c r="A120" s="13" t="str">
        <f>Companions!A8</f>
        <v>Drone Tactique V2</v>
      </c>
      <c r="B120" s="13" t="str">
        <f>Companions!B8</f>
        <v>rare</v>
      </c>
      <c r="C120" s="13" t="str">
        <f>Companions!C8</f>
        <v>cpc_flat</v>
      </c>
      <c r="D120" s="14">
        <f>Companions!D8</f>
        <v>8</v>
      </c>
      <c r="E120" s="14">
        <f>Companions!E8</f>
        <v>10000</v>
      </c>
      <c r="F120" s="14">
        <f>ROUND(D120/(E120/1000),2)</f>
        <v>0.8</v>
      </c>
      <c r="G120" s="14" t="str">
        <f>IF(F120&gt;=AVERAGE($F$114:$F$126)*1.2,"🟢 Bon deal",IF(F120&lt;=AVERAGE($F$114:$F$126)*0.8,"🔴 Cher","🟡 Normal"))</f>
        <v>🔴 Cher</v>
      </c>
    </row>
    <row r="121" spans="1:14" x14ac:dyDescent="0.2">
      <c r="A121" s="13" t="str">
        <f>Companions!A9</f>
        <v>Loup Chrome</v>
      </c>
      <c r="B121" s="13" t="str">
        <f>Companions!B9</f>
        <v>rare</v>
      </c>
      <c r="C121" s="13" t="str">
        <f>Companions!C9</f>
        <v>atk_flat</v>
      </c>
      <c r="D121" s="14">
        <f>Companions!D9</f>
        <v>10</v>
      </c>
      <c r="E121" s="14">
        <f>Companions!E9</f>
        <v>12000</v>
      </c>
      <c r="F121" s="14">
        <f>ROUND(D121/(E121/1000),2)</f>
        <v>0.83</v>
      </c>
      <c r="G121" s="14" t="str">
        <f>IF(F121&gt;=AVERAGE($F$114:$F$126)*1.2,"🟢 Bon deal",IF(F121&lt;=AVERAGE($F$114:$F$126)*0.8,"🔴 Cher","🟡 Normal"))</f>
        <v>🔴 Cher</v>
      </c>
    </row>
    <row r="122" spans="1:14" x14ac:dyDescent="0.2">
      <c r="A122" s="13" t="str">
        <f>Companions!A10</f>
        <v>Medic-Bot</v>
      </c>
      <c r="B122" s="13" t="str">
        <f>Companions!B10</f>
        <v>rare</v>
      </c>
      <c r="C122" s="13" t="str">
        <f>Companions!C10</f>
        <v>hp_flat</v>
      </c>
      <c r="D122" s="14">
        <f>Companions!D10</f>
        <v>50</v>
      </c>
      <c r="E122" s="14">
        <f>Companions!E10</f>
        <v>8000</v>
      </c>
      <c r="F122" s="14">
        <f>ROUND(D122/(E122/1000),2)</f>
        <v>6.25</v>
      </c>
      <c r="G122" s="14" t="str">
        <f>IF(F122&gt;=AVERAGE($F$114:$F$126)*1.2,"🟢 Bon deal",IF(F122&lt;=AVERAGE($F$114:$F$126)*0.8,"🔴 Cher","🟡 Normal"))</f>
        <v>🟢 Bon deal</v>
      </c>
    </row>
    <row r="123" spans="1:14" x14ac:dyDescent="0.2">
      <c r="A123" s="13" t="str">
        <f>Companions!A11</f>
        <v>Phoenix Digital</v>
      </c>
      <c r="B123" s="13" t="str">
        <f>Companions!B11</f>
        <v>epic</v>
      </c>
      <c r="C123" s="13" t="str">
        <f>Companions!C11</f>
        <v>crit_chance</v>
      </c>
      <c r="D123" s="14">
        <f>Companions!D11</f>
        <v>8</v>
      </c>
      <c r="E123" s="14">
        <f>Companions!E11</f>
        <v>35000</v>
      </c>
      <c r="F123" s="14">
        <f>ROUND(D123/(E123/1000),2)</f>
        <v>0.23</v>
      </c>
      <c r="G123" s="14" t="str">
        <f>IF(F123&gt;=AVERAGE($F$114:$F$126)*1.2,"🟢 Bon deal",IF(F123&lt;=AVERAGE($F$114:$F$126)*0.8,"🔴 Cher","🟡 Normal"))</f>
        <v>🔴 Cher</v>
      </c>
    </row>
    <row r="124" spans="1:14" x14ac:dyDescent="0.2">
      <c r="A124" s="13" t="str">
        <f>Companions!A12</f>
        <v>Golem de Données</v>
      </c>
      <c r="B124" s="13" t="str">
        <f>Companions!B12</f>
        <v>epic</v>
      </c>
      <c r="C124" s="13" t="str">
        <f>Companions!C12</f>
        <v>def_flat</v>
      </c>
      <c r="D124" s="14">
        <f>Companions!D12</f>
        <v>20</v>
      </c>
      <c r="E124" s="14">
        <f>Companions!E12</f>
        <v>40000</v>
      </c>
      <c r="F124" s="14">
        <f>ROUND(D124/(E124/1000),2)</f>
        <v>0.5</v>
      </c>
      <c r="G124" s="14" t="str">
        <f>IF(F124&gt;=AVERAGE($F$114:$F$126)*1.2,"🟢 Bon deal",IF(F124&lt;=AVERAGE($F$114:$F$126)*0.8,"🔴 Cher","🟡 Normal"))</f>
        <v>🔴 Cher</v>
      </c>
    </row>
    <row r="125" spans="1:14" x14ac:dyDescent="0.2">
      <c r="A125" s="13" t="str">
        <f>Companions!A13</f>
        <v>NEXUS - IA Rogue</v>
      </c>
      <c r="B125" s="13" t="str">
        <f>Companions!B13</f>
        <v>legendary</v>
      </c>
      <c r="C125" s="13" t="str">
        <f>Companions!C13</f>
        <v>cpc_flat</v>
      </c>
      <c r="D125" s="14">
        <f>Companions!D13</f>
        <v>20</v>
      </c>
      <c r="E125" s="14">
        <f>Companions!E13</f>
        <v>100000</v>
      </c>
      <c r="F125" s="14">
        <f>ROUND(D125/(E125/1000),2)</f>
        <v>0.2</v>
      </c>
      <c r="G125" s="14" t="str">
        <f>IF(F125&gt;=AVERAGE($F$114:$F$126)*1.2,"🟢 Bon deal",IF(F125&lt;=AVERAGE($F$114:$F$126)*0.8,"🔴 Cher","🟡 Normal"))</f>
        <v>🔴 Cher</v>
      </c>
    </row>
    <row r="126" spans="1:14" x14ac:dyDescent="0.2">
      <c r="A126" s="13" t="str">
        <f>Companions!A14</f>
        <v>Dragon Holographique</v>
      </c>
      <c r="B126" s="13" t="str">
        <f>Companions!B14</f>
        <v>legendary</v>
      </c>
      <c r="C126" s="13" t="str">
        <f>Companions!C14</f>
        <v>crit_chance</v>
      </c>
      <c r="D126" s="14">
        <f>Companions!D14</f>
        <v>15</v>
      </c>
      <c r="E126" s="14">
        <f>Companions!E14</f>
        <v>150000</v>
      </c>
      <c r="F126" s="14">
        <f>ROUND(D126/(E126/1000),2)</f>
        <v>0.1</v>
      </c>
      <c r="G126" s="14" t="str">
        <f>IF(F126&gt;=AVERAGE($F$114:$F$126)*1.2,"🟢 Bon deal",IF(F126&lt;=AVERAGE($F$114:$F$126)*0.8,"🔴 Cher","🟡 Normal"))</f>
        <v>🔴 Cher</v>
      </c>
    </row>
    <row r="128" spans="1:14" ht="8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7" x14ac:dyDescent="0.2">
      <c r="A129" s="5" t="s">
        <v>339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">
      <c r="A130" s="12" t="s">
        <v>208</v>
      </c>
      <c r="B130" s="12" t="s">
        <v>209</v>
      </c>
      <c r="C130" s="12" t="s">
        <v>340</v>
      </c>
      <c r="D130" s="12" t="s">
        <v>341</v>
      </c>
      <c r="E130" s="12" t="s">
        <v>212</v>
      </c>
      <c r="F130" s="12" t="s">
        <v>342</v>
      </c>
      <c r="G130" s="12" t="s">
        <v>343</v>
      </c>
      <c r="H130" s="12" t="s">
        <v>344</v>
      </c>
      <c r="I130" s="12" t="s">
        <v>345</v>
      </c>
    </row>
    <row r="131" spans="1:14" x14ac:dyDescent="0.2">
      <c r="A131" s="13" t="str">
        <f>'Combat Skills'!A2</f>
        <v>Hacker</v>
      </c>
      <c r="B131" s="13" t="str">
        <f>'Combat Skills'!B2</f>
        <v>Breach Protocol</v>
      </c>
      <c r="C131" s="14">
        <f>'Combat Skills'!C2</f>
        <v>3</v>
      </c>
      <c r="D131" s="14" t="str">
        <f>'Combat Skills'!D2</f>
        <v>debuff_def</v>
      </c>
      <c r="E131" s="14">
        <f>'Combat Skills'!E2</f>
        <v>50</v>
      </c>
      <c r="F131" s="14">
        <f>'Combat Skills'!F2</f>
        <v>2</v>
      </c>
      <c r="G131" s="14">
        <f>'Combat Skills'!G2</f>
        <v>4</v>
      </c>
      <c r="H131" s="14">
        <f>IF(E131&gt;0,ROUND(E131/G131,1),"-")</f>
        <v>12.5</v>
      </c>
      <c r="I131" s="14">
        <f>IF(H131="-","-",RANK(H131,$H$131:$H$146,0))</f>
        <v>8</v>
      </c>
    </row>
    <row r="132" spans="1:14" x14ac:dyDescent="0.2">
      <c r="A132" s="13" t="str">
        <f>'Combat Skills'!A3</f>
        <v>Hacker</v>
      </c>
      <c r="B132" s="13" t="str">
        <f>'Combat Skills'!B3</f>
        <v>Short Circuit</v>
      </c>
      <c r="C132" s="14">
        <f>'Combat Skills'!C3</f>
        <v>7</v>
      </c>
      <c r="D132" s="14" t="str">
        <f>'Combat Skills'!D3</f>
        <v>pure_damage</v>
      </c>
      <c r="E132" s="14">
        <f>'Combat Skills'!E3</f>
        <v>150</v>
      </c>
      <c r="F132" s="14">
        <f>'Combat Skills'!F3</f>
        <v>0</v>
      </c>
      <c r="G132" s="14">
        <f>'Combat Skills'!G3</f>
        <v>3</v>
      </c>
      <c r="H132" s="14">
        <f>IF(E132&gt;0,ROUND(E132/G132,1),"-")</f>
        <v>50</v>
      </c>
      <c r="I132" s="14">
        <f>IF(H132="-","-",RANK(H132,$H$131:$H$146,0))</f>
        <v>1</v>
      </c>
    </row>
    <row r="133" spans="1:14" x14ac:dyDescent="0.2">
      <c r="A133" s="13" t="str">
        <f>'Combat Skills'!A4</f>
        <v>Hacker</v>
      </c>
      <c r="B133" s="13" t="str">
        <f>'Combat Skills'!B4</f>
        <v>Backdoor</v>
      </c>
      <c r="C133" s="14">
        <f>'Combat Skills'!C4</f>
        <v>12</v>
      </c>
      <c r="D133" s="14" t="str">
        <f>'Combat Skills'!D4</f>
        <v>steal_damage</v>
      </c>
      <c r="E133" s="14">
        <f>'Combat Skills'!E4</f>
        <v>120</v>
      </c>
      <c r="F133" s="14">
        <f>'Combat Skills'!F4</f>
        <v>0</v>
      </c>
      <c r="G133" s="14">
        <f>'Combat Skills'!G4</f>
        <v>4</v>
      </c>
      <c r="H133" s="14">
        <f>IF(E133&gt;0,ROUND(E133/G133,1),"-")</f>
        <v>30</v>
      </c>
      <c r="I133" s="14">
        <f>IF(H133="-","-",RANK(H133,$H$131:$H$146,0))</f>
        <v>5</v>
      </c>
    </row>
    <row r="134" spans="1:14" x14ac:dyDescent="0.2">
      <c r="A134" s="13" t="str">
        <f>'Combat Skills'!A5</f>
        <v>Hacker</v>
      </c>
      <c r="B134" s="13" t="str">
        <f>'Combat Skills'!B5</f>
        <v>Kernel Panic</v>
      </c>
      <c r="C134" s="14">
        <f>'Combat Skills'!C5</f>
        <v>18</v>
      </c>
      <c r="D134" s="14" t="str">
        <f>'Combat Skills'!D5</f>
        <v>damage_stun</v>
      </c>
      <c r="E134" s="14">
        <f>'Combat Skills'!E5</f>
        <v>200</v>
      </c>
      <c r="F134" s="14">
        <f>'Combat Skills'!F5</f>
        <v>1</v>
      </c>
      <c r="G134" s="14">
        <f>'Combat Skills'!G5</f>
        <v>5</v>
      </c>
      <c r="H134" s="14">
        <f>IF(E134&gt;0,ROUND(E134/G134,1),"-")</f>
        <v>40</v>
      </c>
      <c r="I134" s="14">
        <f>IF(H134="-","-",RANK(H134,$H$131:$H$146,0))</f>
        <v>3</v>
      </c>
    </row>
    <row r="135" spans="1:14" x14ac:dyDescent="0.2">
      <c r="A135" s="13" t="str">
        <f>'Combat Skills'!A6</f>
        <v>Netrunner</v>
      </c>
      <c r="B135" s="13" t="str">
        <f>'Combat Skills'!B6</f>
        <v>Ping Scan</v>
      </c>
      <c r="C135" s="14">
        <f>'Combat Skills'!C6</f>
        <v>3</v>
      </c>
      <c r="D135" s="14" t="str">
        <f>'Combat Skills'!D6</f>
        <v>guaranteed_crit</v>
      </c>
      <c r="E135" s="14">
        <f>'Combat Skills'!E6</f>
        <v>0</v>
      </c>
      <c r="F135" s="14">
        <f>'Combat Skills'!F6</f>
        <v>1</v>
      </c>
      <c r="G135" s="14">
        <f>'Combat Skills'!G6</f>
        <v>3</v>
      </c>
      <c r="H135" s="14" t="str">
        <f>IF(E135&gt;0,ROUND(E135/G135,1),"-")</f>
        <v>-</v>
      </c>
      <c r="I135" s="14" t="str">
        <f>IF(H135="-","-",RANK(H135,$H$131:$H$146,0))</f>
        <v>-</v>
      </c>
    </row>
    <row r="136" spans="1:14" x14ac:dyDescent="0.2">
      <c r="A136" s="13" t="str">
        <f>'Combat Skills'!A7</f>
        <v>Netrunner</v>
      </c>
      <c r="B136" s="13" t="str">
        <f>'Combat Skills'!B7</f>
        <v>ICE Breaker</v>
      </c>
      <c r="C136" s="14">
        <f>'Combat Skills'!C7</f>
        <v>7</v>
      </c>
      <c r="D136" s="14" t="str">
        <f>'Combat Skills'!D7</f>
        <v>purge_damage</v>
      </c>
      <c r="E136" s="14">
        <f>'Combat Skills'!E7</f>
        <v>80</v>
      </c>
      <c r="F136" s="14">
        <f>'Combat Skills'!F7</f>
        <v>0</v>
      </c>
      <c r="G136" s="14">
        <f>'Combat Skills'!G7</f>
        <v>3</v>
      </c>
      <c r="H136" s="14">
        <f>IF(E136&gt;0,ROUND(E136/G136,1),"-")</f>
        <v>26.7</v>
      </c>
      <c r="I136" s="14">
        <f>IF(H136="-","-",RANK(H136,$H$131:$H$146,0))</f>
        <v>6</v>
      </c>
    </row>
    <row r="137" spans="1:14" x14ac:dyDescent="0.2">
      <c r="A137" s="13" t="str">
        <f>'Combat Skills'!A8</f>
        <v>Netrunner</v>
      </c>
      <c r="B137" s="13" t="str">
        <f>'Combat Skills'!B8</f>
        <v>Neural Overload</v>
      </c>
      <c r="C137" s="14">
        <f>'Combat Skills'!C8</f>
        <v>12</v>
      </c>
      <c r="D137" s="14" t="str">
        <f>'Combat Skills'!D8</f>
        <v>damage_stun</v>
      </c>
      <c r="E137" s="14">
        <f>'Combat Skills'!E8</f>
        <v>100</v>
      </c>
      <c r="F137" s="14">
        <f>'Combat Skills'!F8</f>
        <v>1</v>
      </c>
      <c r="G137" s="14">
        <f>'Combat Skills'!G8</f>
        <v>4</v>
      </c>
      <c r="H137" s="14">
        <f>IF(E137&gt;0,ROUND(E137/G137,1),"-")</f>
        <v>25</v>
      </c>
      <c r="I137" s="14">
        <f>IF(H137="-","-",RANK(H137,$H$131:$H$146,0))</f>
        <v>7</v>
      </c>
    </row>
    <row r="138" spans="1:14" x14ac:dyDescent="0.2">
      <c r="A138" s="13" t="str">
        <f>'Combat Skills'!A9</f>
        <v>Netrunner</v>
      </c>
      <c r="B138" s="13" t="str">
        <f>'Combat Skills'!B9</f>
        <v>System Restore</v>
      </c>
      <c r="C138" s="14">
        <f>'Combat Skills'!C9</f>
        <v>18</v>
      </c>
      <c r="D138" s="14" t="str">
        <f>'Combat Skills'!D9</f>
        <v>heal_percent</v>
      </c>
      <c r="E138" s="14">
        <f>'Combat Skills'!E9</f>
        <v>40</v>
      </c>
      <c r="F138" s="14">
        <f>'Combat Skills'!F9</f>
        <v>0</v>
      </c>
      <c r="G138" s="14">
        <f>'Combat Skills'!G9</f>
        <v>5</v>
      </c>
      <c r="H138" s="14">
        <f>IF(E138&gt;0,ROUND(E138/G138,1),"-")</f>
        <v>8</v>
      </c>
      <c r="I138" s="14">
        <f>IF(H138="-","-",RANK(H138,$H$131:$H$146,0))</f>
        <v>12</v>
      </c>
    </row>
    <row r="139" spans="1:14" x14ac:dyDescent="0.2">
      <c r="A139" s="13" t="str">
        <f>'Combat Skills'!A10</f>
        <v>Samurai</v>
      </c>
      <c r="B139" s="13" t="str">
        <f>'Combat Skills'!B10</f>
        <v>Wired Reflexes</v>
      </c>
      <c r="C139" s="14">
        <f>'Combat Skills'!C10</f>
        <v>3</v>
      </c>
      <c r="D139" s="14" t="str">
        <f>'Combat Skills'!D10</f>
        <v>double_hit</v>
      </c>
      <c r="E139" s="14">
        <f>'Combat Skills'!E10</f>
        <v>0</v>
      </c>
      <c r="F139" s="14">
        <f>'Combat Skills'!F10</f>
        <v>0</v>
      </c>
      <c r="G139" s="14">
        <f>'Combat Skills'!G10</f>
        <v>3</v>
      </c>
      <c r="H139" s="14" t="str">
        <f>IF(E139&gt;0,ROUND(E139/G139,1),"-")</f>
        <v>-</v>
      </c>
      <c r="I139" s="14" t="str">
        <f>IF(H139="-","-",RANK(H139,$H$131:$H$146,0))</f>
        <v>-</v>
      </c>
    </row>
    <row r="140" spans="1:14" x14ac:dyDescent="0.2">
      <c r="A140" s="13" t="str">
        <f>'Combat Skills'!A11</f>
        <v>Samurai</v>
      </c>
      <c r="B140" s="13" t="str">
        <f>'Combat Skills'!B11</f>
        <v>Mono-Edge Slash</v>
      </c>
      <c r="C140" s="14">
        <f>'Combat Skills'!C11</f>
        <v>7</v>
      </c>
      <c r="D140" s="14" t="str">
        <f>'Combat Skills'!D11</f>
        <v>damage_dot</v>
      </c>
      <c r="E140" s="14">
        <f>'Combat Skills'!E11</f>
        <v>130</v>
      </c>
      <c r="F140" s="14">
        <f>'Combat Skills'!F11</f>
        <v>3</v>
      </c>
      <c r="G140" s="14">
        <f>'Combat Skills'!G11</f>
        <v>4</v>
      </c>
      <c r="H140" s="14">
        <f>IF(E140&gt;0,ROUND(E140/G140,1),"-")</f>
        <v>32.5</v>
      </c>
      <c r="I140" s="14">
        <f>IF(H140="-","-",RANK(H140,$H$131:$H$146,0))</f>
        <v>4</v>
      </c>
    </row>
    <row r="141" spans="1:14" x14ac:dyDescent="0.2">
      <c r="A141" s="13" t="str">
        <f>'Combat Skills'!A12</f>
        <v>Samurai</v>
      </c>
      <c r="B141" s="13" t="str">
        <f>'Combat Skills'!B12</f>
        <v>Subdermal Shield</v>
      </c>
      <c r="C141" s="14">
        <f>'Combat Skills'!C12</f>
        <v>12</v>
      </c>
      <c r="D141" s="14" t="str">
        <f>'Combat Skills'!D12</f>
        <v>shield</v>
      </c>
      <c r="E141" s="14">
        <f>'Combat Skills'!E12</f>
        <v>0</v>
      </c>
      <c r="F141" s="14">
        <f>'Combat Skills'!F12</f>
        <v>1</v>
      </c>
      <c r="G141" s="14">
        <f>'Combat Skills'!G12</f>
        <v>5</v>
      </c>
      <c r="H141" s="14" t="str">
        <f>IF(E141&gt;0,ROUND(E141/G141,1),"-")</f>
        <v>-</v>
      </c>
      <c r="I141" s="14" t="str">
        <f>IF(H141="-","-",RANK(H141,$H$131:$H$146,0))</f>
        <v>-</v>
      </c>
    </row>
    <row r="142" spans="1:14" x14ac:dyDescent="0.2">
      <c r="A142" s="13" t="str">
        <f>'Combat Skills'!A13</f>
        <v>Samurai</v>
      </c>
      <c r="B142" s="13" t="str">
        <f>'Combat Skills'!B13</f>
        <v>Adrenaline Surge</v>
      </c>
      <c r="C142" s="14">
        <f>'Combat Skills'!C13</f>
        <v>18</v>
      </c>
      <c r="D142" s="14" t="str">
        <f>'Combat Skills'!D13</f>
        <v>mega_strike</v>
      </c>
      <c r="E142" s="14">
        <f>'Combat Skills'!E13</f>
        <v>300</v>
      </c>
      <c r="F142" s="14">
        <f>'Combat Skills'!F13</f>
        <v>0</v>
      </c>
      <c r="G142" s="14">
        <f>'Combat Skills'!G13</f>
        <v>6</v>
      </c>
      <c r="H142" s="14">
        <f>IF(E142&gt;0,ROUND(E142/G142,1),"-")</f>
        <v>50</v>
      </c>
      <c r="I142" s="14">
        <f>IF(H142="-","-",RANK(H142,$H$131:$H$146,0))</f>
        <v>1</v>
      </c>
    </row>
    <row r="143" spans="1:14" x14ac:dyDescent="0.2">
      <c r="A143" s="13" t="str">
        <f>'Combat Skills'!A14</f>
        <v>Chrome Dealer</v>
      </c>
      <c r="B143" s="13" t="str">
        <f>'Combat Skills'!B14</f>
        <v>Deploy Turret</v>
      </c>
      <c r="C143" s="14">
        <f>'Combat Skills'!C14</f>
        <v>3</v>
      </c>
      <c r="D143" s="14" t="str">
        <f>'Combat Skills'!D14</f>
        <v>turret</v>
      </c>
      <c r="E143" s="14">
        <f>'Combat Skills'!E14</f>
        <v>40</v>
      </c>
      <c r="F143" s="14">
        <f>'Combat Skills'!F14</f>
        <v>3</v>
      </c>
      <c r="G143" s="14">
        <f>'Combat Skills'!G14</f>
        <v>4</v>
      </c>
      <c r="H143" s="14">
        <f>IF(E143&gt;0,ROUND(E143/G143,1),"-")</f>
        <v>10</v>
      </c>
      <c r="I143" s="14">
        <f>IF(H143="-","-",RANK(H143,$H$131:$H$146,0))</f>
        <v>10</v>
      </c>
    </row>
    <row r="144" spans="1:14" x14ac:dyDescent="0.2">
      <c r="A144" s="13" t="str">
        <f>'Combat Skills'!A15</f>
        <v>Chrome Dealer</v>
      </c>
      <c r="B144" s="13" t="str">
        <f>'Combat Skills'!B15</f>
        <v>Repair Nanobots</v>
      </c>
      <c r="C144" s="14">
        <f>'Combat Skills'!C15</f>
        <v>7</v>
      </c>
      <c r="D144" s="14" t="str">
        <f>'Combat Skills'!D15</f>
        <v>heal_percent</v>
      </c>
      <c r="E144" s="14">
        <f>'Combat Skills'!E15</f>
        <v>30</v>
      </c>
      <c r="F144" s="14">
        <f>'Combat Skills'!F15</f>
        <v>0</v>
      </c>
      <c r="G144" s="14">
        <f>'Combat Skills'!G15</f>
        <v>4</v>
      </c>
      <c r="H144" s="14">
        <f>IF(E144&gt;0,ROUND(E144/G144,1),"-")</f>
        <v>7.5</v>
      </c>
      <c r="I144" s="14">
        <f>IF(H144="-","-",RANK(H144,$H$131:$H$146,0))</f>
        <v>13</v>
      </c>
    </row>
    <row r="145" spans="1:14" x14ac:dyDescent="0.2">
      <c r="A145" s="13" t="str">
        <f>'Combat Skills'!A16</f>
        <v>Chrome Dealer</v>
      </c>
      <c r="B145" s="13" t="str">
        <f>'Combat Skills'!B16</f>
        <v>EMP Blast</v>
      </c>
      <c r="C145" s="14">
        <f>'Combat Skills'!C16</f>
        <v>12</v>
      </c>
      <c r="D145" s="14" t="str">
        <f>'Combat Skills'!D16</f>
        <v>debuff_atk</v>
      </c>
      <c r="E145" s="14">
        <f>'Combat Skills'!E16</f>
        <v>50</v>
      </c>
      <c r="F145" s="14">
        <f>'Combat Skills'!F16</f>
        <v>2</v>
      </c>
      <c r="G145" s="14">
        <f>'Combat Skills'!G16</f>
        <v>4</v>
      </c>
      <c r="H145" s="14">
        <f>IF(E145&gt;0,ROUND(E145/G145,1),"-")</f>
        <v>12.5</v>
      </c>
      <c r="I145" s="14">
        <f>IF(H145="-","-",RANK(H145,$H$131:$H$146,0))</f>
        <v>8</v>
      </c>
    </row>
    <row r="146" spans="1:14" x14ac:dyDescent="0.2">
      <c r="A146" s="13" t="str">
        <f>'Combat Skills'!A17</f>
        <v>Chrome Dealer</v>
      </c>
      <c r="B146" s="13" t="str">
        <f>'Combat Skills'!B17</f>
        <v>Chrome Overcharge</v>
      </c>
      <c r="C146" s="14">
        <f>'Combat Skills'!C17</f>
        <v>18</v>
      </c>
      <c r="D146" s="14" t="str">
        <f>'Combat Skills'!D17</f>
        <v>buff_all</v>
      </c>
      <c r="E146" s="14">
        <f>'Combat Skills'!E17</f>
        <v>50</v>
      </c>
      <c r="F146" s="14">
        <f>'Combat Skills'!F17</f>
        <v>3</v>
      </c>
      <c r="G146" s="14">
        <f>'Combat Skills'!G17</f>
        <v>6</v>
      </c>
      <c r="H146" s="14">
        <f>IF(E146&gt;0,ROUND(E146/G146,1),"-")</f>
        <v>8.3000000000000007</v>
      </c>
      <c r="I146" s="14">
        <f>IF(H146="-","-",RANK(H146,$H$131:$H$146,0))</f>
        <v>11</v>
      </c>
    </row>
    <row r="148" spans="1:14" ht="8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7" x14ac:dyDescent="0.2">
      <c r="A149" s="18" t="s">
        <v>346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A150" s="12" t="s">
        <v>347</v>
      </c>
      <c r="B150" s="12" t="s">
        <v>348</v>
      </c>
      <c r="C150" s="12" t="s">
        <v>349</v>
      </c>
      <c r="D150" s="12" t="s">
        <v>350</v>
      </c>
      <c r="E150" s="12" t="s">
        <v>351</v>
      </c>
    </row>
    <row r="151" spans="1:14" x14ac:dyDescent="0.2">
      <c r="A151" s="14">
        <v>1</v>
      </c>
      <c r="B151" s="13" t="s">
        <v>156</v>
      </c>
      <c r="C151" s="13" t="s">
        <v>352</v>
      </c>
      <c r="D151" s="14" t="str">
        <f>IF(K10/K9&gt;5,"🔴 Élevé","🟢 OK")</f>
        <v>🟢 OK</v>
      </c>
      <c r="E151" s="13" t="str">
        <f>ROUND(K10,0)&amp;" vs "&amp;ROUND(K9,0)&amp;" (ratio "&amp;ROUND(K10/K9,1)&amp;"x)"</f>
        <v>135000 vs 480318 (ratio 0.3x)</v>
      </c>
    </row>
    <row r="152" spans="1:14" x14ac:dyDescent="0.2">
      <c r="A152" s="14">
        <v>2</v>
      </c>
      <c r="B152" s="13" t="s">
        <v>353</v>
      </c>
      <c r="C152" s="13" t="s">
        <v>354</v>
      </c>
      <c r="D152" s="14" t="str">
        <f>IF(J93&lt;-0.3,"🔴 Trop dur",IF(J93&gt;1,"🟡 Facile","🟢 OK"))</f>
        <v>🟢 OK</v>
      </c>
      <c r="E152" s="13" t="str">
        <f>"Surplus HP: "&amp;TEXT(J93,"0%")&amp;", Surplus ATK: "&amp;TEXT(K93,"0%")</f>
        <v>Surplus HP: 86%, Surplus ATK: 782%</v>
      </c>
    </row>
    <row r="153" spans="1:14" x14ac:dyDescent="0.2">
      <c r="A153" s="14">
        <v>3</v>
      </c>
      <c r="B153" s="13" t="s">
        <v>355</v>
      </c>
      <c r="C153" s="13" t="s">
        <v>356</v>
      </c>
      <c r="D153" s="14" t="str">
        <f>IF(J47&gt;500,"🔴 Trop long",IF(J47&gt;200,"🟡 Long","🟢 OK"))</f>
        <v>🟢 OK</v>
      </c>
      <c r="E153" s="13" t="str">
        <f>J47&amp;" kills ("&amp;L47&amp;" heures)"</f>
        <v>23 kills (0.4 heures)</v>
      </c>
    </row>
    <row r="154" spans="1:14" x14ac:dyDescent="0.2">
      <c r="A154" s="14">
        <v>4</v>
      </c>
      <c r="B154" s="13" t="s">
        <v>357</v>
      </c>
      <c r="C154" s="13" t="s">
        <v>358</v>
      </c>
      <c r="D154" s="14" t="str">
        <f>IF(MAX(L52:L72)&gt;5,"🟡 Loot dominant","🟢 OK")</f>
        <v>🟡 Loot dominant</v>
      </c>
      <c r="E154" s="13" t="str">
        <f>"Ratio max: "&amp;TEXT(MAX(L52:L72),"0.00")&amp;"x"</f>
        <v>Ratio max: 750.80x</v>
      </c>
    </row>
    <row r="155" spans="1:14" x14ac:dyDescent="0.2">
      <c r="A155" s="14">
        <v>5</v>
      </c>
      <c r="B155" s="13" t="s">
        <v>359</v>
      </c>
      <c r="C155" s="13" t="s">
        <v>360</v>
      </c>
      <c r="D155" s="14" t="str">
        <f>IF(K109&gt;100,"🔴 Impossible solo","🟢 OK")</f>
        <v>🟢 OK</v>
      </c>
      <c r="E155" s="13" t="str">
        <f>K109&amp;" coups nécessaires"</f>
        <v>98 coups nécessaires</v>
      </c>
    </row>
    <row r="156" spans="1:14" x14ac:dyDescent="0.2">
      <c r="A156" s="14">
        <v>6</v>
      </c>
      <c r="B156" s="13" t="s">
        <v>361</v>
      </c>
      <c r="C156" s="13" t="s">
        <v>362</v>
      </c>
      <c r="D156" s="14" t="str" cm="1">
        <f t="array" ref="D156">IF(MAX(H131:H146)/MIN(IF(H131:H146&lt;&gt;"-",H131:H146))&gt;5,"🔴 Déséquilibré","🟢 OK")</f>
        <v>🔴 Déséquilibré</v>
      </c>
      <c r="E156" s="13" t="str" cm="1">
        <f t="array" ref="E156">"Max: "&amp;MAX(H131:H146)&amp;" / Min: "&amp;MIN(IF(H131:H146&lt;&gt;"-",H131:H146))</f>
        <v>Max: 50 / Min: 7.5</v>
      </c>
    </row>
    <row r="157" spans="1:14" x14ac:dyDescent="0.2">
      <c r="A157" s="14">
        <v>7</v>
      </c>
      <c r="B157" s="13" t="s">
        <v>363</v>
      </c>
      <c r="C157" s="13" t="s">
        <v>364</v>
      </c>
      <c r="D157" s="14" t="str">
        <f>IF(COUNTIF(Shop!E:E,"false")&gt;0,"🟡 Items bloqués","🟢 OK")</f>
        <v>🟡 Items bloqués</v>
      </c>
      <c r="E157" s="13" t="str">
        <f>COUNTIF(Shop!E:E,"false")&amp;" items désactivés"</f>
        <v>2 items désactivés</v>
      </c>
    </row>
    <row r="158" spans="1:14" x14ac:dyDescent="0.2">
      <c r="A158" s="14">
        <v>8</v>
      </c>
      <c r="B158" s="13" t="s">
        <v>95</v>
      </c>
      <c r="C158" s="13" t="s">
        <v>365</v>
      </c>
      <c r="D158" s="14" t="str">
        <f>IF(B93&gt;1000000,"🟡 Très long","🟢 OK")</f>
        <v>🟡 Très long</v>
      </c>
      <c r="E158" s="13" t="str">
        <f>TEXT(INDEX('Progression Niveaux'!C:C,MATCH(150,'Progression Niveaux'!A:A,0)),"#,##0")&amp;" XP total"</f>
        <v>1,117,500 XP total</v>
      </c>
    </row>
  </sheetData>
  <mergeCells count="12">
    <mergeCell ref="A50:N50"/>
    <mergeCell ref="A75:N75"/>
    <mergeCell ref="A96:N96"/>
    <mergeCell ref="A112:N112"/>
    <mergeCell ref="A129:N129"/>
    <mergeCell ref="A149:N149"/>
    <mergeCell ref="A1:N1"/>
    <mergeCell ref="A2:N2"/>
    <mergeCell ref="A4:F4"/>
    <mergeCell ref="H4:K4"/>
    <mergeCell ref="A13:N13"/>
    <mergeCell ref="A39:N39"/>
  </mergeCells>
  <conditionalFormatting sqref="N15:N36">
    <cfRule type="containsText" dxfId="14" priority="1" operator="containsText" text="CHECK">
      <formula>NOT(ISERROR(SEARCH("CHECK",N15)))</formula>
    </cfRule>
  </conditionalFormatting>
  <conditionalFormatting sqref="N15:N36">
    <cfRule type="containsText" dxfId="13" priority="2" operator="containsText" text="OK">
      <formula>NOT(ISERROR(SEARCH("OK",N15)))</formula>
    </cfRule>
  </conditionalFormatting>
  <conditionalFormatting sqref="L77:L93">
    <cfRule type="containsText" dxfId="12" priority="3" operator="containsText" text="Trop dur">
      <formula>NOT(ISERROR(SEARCH("Trop dur",L77)))</formula>
    </cfRule>
  </conditionalFormatting>
  <conditionalFormatting sqref="L77:L93">
    <cfRule type="containsText" dxfId="11" priority="4" operator="containsText" text="Équilibré">
      <formula>NOT(ISERROR(SEARCH("Équilibré",L77)))</formula>
    </cfRule>
  </conditionalFormatting>
  <conditionalFormatting sqref="L77:L93">
    <cfRule type="containsText" dxfId="10" priority="5" operator="containsText" text="Trop facile">
      <formula>NOT(ISERROR(SEARCH("Trop facile",L77)))</formula>
    </cfRule>
  </conditionalFormatting>
  <conditionalFormatting sqref="D151:D158">
    <cfRule type="containsText" dxfId="9" priority="6" operator="containsText" text="🔴">
      <formula>NOT(ISERROR(SEARCH("🔴",D151)))</formula>
    </cfRule>
  </conditionalFormatting>
  <conditionalFormatting sqref="D151:D158">
    <cfRule type="containsText" dxfId="8" priority="7" operator="containsText" text="🟢">
      <formula>NOT(ISERROR(SEARCH("🟢",D151)))</formula>
    </cfRule>
  </conditionalFormatting>
  <conditionalFormatting sqref="D151:D158">
    <cfRule type="containsText" dxfId="7" priority="8" operator="containsText" text="🟡">
      <formula>NOT(ISERROR(SEARCH("🟡",D151)))</formula>
    </cfRule>
  </conditionalFormatting>
  <conditionalFormatting sqref="N15:N36">
    <cfRule type="containsText" dxfId="6" priority="9" operator="containsText" text="CHECK">
      <formula>NOT(ISERROR(SEARCH("CHECK",N15)))</formula>
    </cfRule>
  </conditionalFormatting>
  <conditionalFormatting sqref="N15:N36">
    <cfRule type="containsText" dxfId="5" priority="10" operator="containsText" text="OK">
      <formula>NOT(ISERROR(SEARCH("OK",N15)))</formula>
    </cfRule>
  </conditionalFormatting>
  <conditionalFormatting sqref="L77:L93">
    <cfRule type="containsText" dxfId="4" priority="11" operator="containsText" text="Trop dur">
      <formula>NOT(ISERROR(SEARCH("Trop dur",L77)))</formula>
    </cfRule>
  </conditionalFormatting>
  <conditionalFormatting sqref="L77:L93">
    <cfRule type="containsText" dxfId="3" priority="12" operator="containsText" text="quilibr">
      <formula>NOT(ISERROR(SEARCH("quilibr",L77)))</formula>
    </cfRule>
  </conditionalFormatting>
  <conditionalFormatting sqref="L77:L93">
    <cfRule type="containsText" dxfId="2" priority="13" operator="containsText" text="facile">
      <formula>NOT(ISERROR(SEARCH("facile",L77)))</formula>
    </cfRule>
  </conditionalFormatting>
  <conditionalFormatting sqref="D151:D158">
    <cfRule type="containsText" dxfId="1" priority="14" operator="containsText" text="lev">
      <formula>NOT(ISERROR(SEARCH("lev",D151)))</formula>
    </cfRule>
  </conditionalFormatting>
  <conditionalFormatting sqref="D151:D158">
    <cfRule type="containsText" dxfId="0" priority="15" operator="containsText" text="OK">
      <formula>NOT(ISERROR(SEARCH("OK",D151)))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Items</vt:lpstr>
      <vt:lpstr>Shop</vt:lpstr>
      <vt:lpstr>Ennemis</vt:lpstr>
      <vt:lpstr>Loot Table</vt:lpstr>
      <vt:lpstr>Donjon</vt:lpstr>
      <vt:lpstr>Companions</vt:lpstr>
      <vt:lpstr>Progression Niveaux</vt:lpstr>
      <vt:lpstr>Missions</vt:lpstr>
      <vt:lpstr>Talents</vt:lpstr>
      <vt:lpstr>Combat Skills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Yannick Perret</cp:lastModifiedBy>
  <dcterms:modified xsi:type="dcterms:W3CDTF">2026-03-21T11:19:15Z</dcterms:modified>
</cp:coreProperties>
</file>